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O:\50 - CHANTIERS MENETREY SA\9230229 - Fehlmann Architectes - Campus RTS - Ecublens\1-OFFRES-CONTRATS\Dossier d'envoi\"/>
    </mc:Choice>
  </mc:AlternateContent>
  <xr:revisionPtr revIDLastSave="0" documentId="13_ncr:1_{8A9829F3-F9A2-4811-824A-30A561BFFAAB}" xr6:coauthVersionLast="47" xr6:coauthVersionMax="47" xr10:uidLastSave="{00000000-0000-0000-0000-000000000000}"/>
  <bookViews>
    <workbookView xWindow="-120" yWindow="-120" windowWidth="29040" windowHeight="15840" xr2:uid="{2E0A65A9-EABD-4D11-A6E0-88E494505DE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9" i="1" l="1"/>
  <c r="D197" i="1"/>
  <c r="F197" i="1" s="1"/>
  <c r="D192" i="1"/>
  <c r="F192" i="1" s="1"/>
  <c r="D198" i="1"/>
  <c r="F198" i="1" s="1"/>
  <c r="D199" i="1"/>
  <c r="F199" i="1" s="1"/>
  <c r="D195" i="1"/>
  <c r="D193" i="1"/>
  <c r="F193" i="1" s="1"/>
  <c r="D196" i="1"/>
  <c r="F196" i="1" s="1"/>
  <c r="D191" i="1"/>
  <c r="F191" i="1" s="1"/>
  <c r="D190" i="1"/>
  <c r="F190" i="1" s="1"/>
  <c r="D189" i="1"/>
  <c r="F189" i="1" s="1"/>
  <c r="D188" i="1"/>
  <c r="F188" i="1" s="1"/>
  <c r="F195" i="1"/>
  <c r="D187" i="1"/>
  <c r="F187" i="1" s="1"/>
  <c r="D186" i="1"/>
  <c r="F186" i="1" s="1"/>
  <c r="D194" i="1"/>
  <c r="F194" i="1" s="1"/>
  <c r="D185" i="1"/>
  <c r="F185" i="1" s="1"/>
  <c r="F60" i="1"/>
  <c r="F268" i="1"/>
  <c r="F267" i="1"/>
  <c r="F266" i="1"/>
  <c r="F265" i="1"/>
  <c r="F263" i="1"/>
  <c r="F261" i="1"/>
  <c r="F260" i="1"/>
  <c r="F259" i="1"/>
  <c r="F258" i="1"/>
  <c r="F257" i="1"/>
  <c r="F256" i="1"/>
  <c r="F255" i="1"/>
  <c r="F254" i="1"/>
  <c r="F253" i="1"/>
  <c r="F252" i="1"/>
  <c r="F251" i="1"/>
  <c r="F250" i="1"/>
  <c r="F249" i="1"/>
  <c r="F244" i="1"/>
  <c r="F243" i="1"/>
  <c r="F242" i="1"/>
  <c r="F237" i="1"/>
  <c r="F238" i="1" s="1"/>
  <c r="F233" i="1"/>
  <c r="F232" i="1"/>
  <c r="F231" i="1"/>
  <c r="F229" i="1"/>
  <c r="F228" i="1"/>
  <c r="F227" i="1"/>
  <c r="F225" i="1"/>
  <c r="F224" i="1"/>
  <c r="F223" i="1"/>
  <c r="F222" i="1"/>
  <c r="F221" i="1"/>
  <c r="F218" i="1"/>
  <c r="F217" i="1"/>
  <c r="F216" i="1"/>
  <c r="F215" i="1"/>
  <c r="F214" i="1"/>
  <c r="F213" i="1"/>
  <c r="F212" i="1"/>
  <c r="F210" i="1"/>
  <c r="F209" i="1"/>
  <c r="F208" i="1"/>
  <c r="F207" i="1"/>
  <c r="F206" i="1"/>
  <c r="F205" i="1"/>
  <c r="F204" i="1"/>
  <c r="F203" i="1"/>
  <c r="F202" i="1"/>
  <c r="F183" i="1"/>
  <c r="F182" i="1"/>
  <c r="F181" i="1"/>
  <c r="F176" i="1"/>
  <c r="F175" i="1"/>
  <c r="F173" i="1"/>
  <c r="F172" i="1"/>
  <c r="F171" i="1"/>
  <c r="F170" i="1"/>
  <c r="F169" i="1"/>
  <c r="F168" i="1"/>
  <c r="F166" i="1"/>
  <c r="F165" i="1"/>
  <c r="F160" i="1"/>
  <c r="F159" i="1"/>
  <c r="F157" i="1"/>
  <c r="F155" i="1"/>
  <c r="F154" i="1"/>
  <c r="F153" i="1"/>
  <c r="F148" i="1"/>
  <c r="F147" i="1"/>
  <c r="F144" i="1"/>
  <c r="F142" i="1"/>
  <c r="F140" i="1"/>
  <c r="F139" i="1"/>
  <c r="F138" i="1"/>
  <c r="F137" i="1"/>
  <c r="F132" i="1"/>
  <c r="F131" i="1"/>
  <c r="F130" i="1"/>
  <c r="F129" i="1"/>
  <c r="F128" i="1"/>
  <c r="F127" i="1"/>
  <c r="F126" i="1"/>
  <c r="F125" i="1"/>
  <c r="F124" i="1"/>
  <c r="F122" i="1"/>
  <c r="F121" i="1"/>
  <c r="F120" i="1"/>
  <c r="F118" i="1"/>
  <c r="F117" i="1"/>
  <c r="F116" i="1"/>
  <c r="F113" i="1"/>
  <c r="F112" i="1"/>
  <c r="F111" i="1"/>
  <c r="F110" i="1"/>
  <c r="F109" i="1"/>
  <c r="F107" i="1"/>
  <c r="F105" i="1"/>
  <c r="F104" i="1"/>
  <c r="F103" i="1"/>
  <c r="F102" i="1"/>
  <c r="F101" i="1"/>
  <c r="F95" i="1"/>
  <c r="F94" i="1"/>
  <c r="F93" i="1"/>
  <c r="F92" i="1"/>
  <c r="F91" i="1"/>
  <c r="F89" i="1"/>
  <c r="F87" i="1"/>
  <c r="F86" i="1"/>
  <c r="F85" i="1"/>
  <c r="F84" i="1"/>
  <c r="F83" i="1"/>
  <c r="F82" i="1"/>
  <c r="F80" i="1"/>
  <c r="F79" i="1"/>
  <c r="F68" i="1"/>
  <c r="F67" i="1"/>
  <c r="F66" i="1"/>
  <c r="F65" i="1"/>
  <c r="F59" i="1"/>
  <c r="F57" i="1"/>
  <c r="F56" i="1"/>
  <c r="F55" i="1"/>
  <c r="F53" i="1"/>
  <c r="F52" i="1"/>
  <c r="F50" i="1"/>
  <c r="F49" i="1"/>
  <c r="F48" i="1"/>
  <c r="F46" i="1"/>
  <c r="F45" i="1"/>
  <c r="F44" i="1"/>
  <c r="F43" i="1"/>
  <c r="F42" i="1"/>
  <c r="F41" i="1"/>
  <c r="F40" i="1"/>
  <c r="F38" i="1"/>
  <c r="F37" i="1"/>
  <c r="F35" i="1"/>
  <c r="F31" i="1"/>
  <c r="F30" i="1"/>
  <c r="F29" i="1"/>
  <c r="F28" i="1"/>
  <c r="F27" i="1"/>
  <c r="F26" i="1"/>
  <c r="F25" i="1"/>
  <c r="F23" i="1"/>
  <c r="F22" i="1"/>
  <c r="F21" i="1"/>
  <c r="F20" i="1"/>
  <c r="F18" i="1"/>
  <c r="F17" i="1"/>
  <c r="F13" i="1"/>
  <c r="F12" i="1"/>
  <c r="F8" i="1"/>
  <c r="F7" i="1"/>
  <c r="F5" i="1"/>
  <c r="F4" i="1"/>
  <c r="F96" i="1" l="1"/>
  <c r="F61" i="1"/>
  <c r="F149" i="1"/>
  <c r="F177" i="1"/>
  <c r="F219" i="1"/>
  <c r="F270" i="1"/>
  <c r="F234" i="1"/>
  <c r="F32" i="1"/>
  <c r="F161" i="1"/>
  <c r="F273" i="1" l="1"/>
  <c r="F274" i="1" l="1"/>
  <c r="F275" i="1" s="1"/>
  <c r="F276" i="1" s="1"/>
  <c r="G277" i="1" l="1"/>
  <c r="F277" i="1" s="1"/>
</calcChain>
</file>

<file path=xl/sharedStrings.xml><?xml version="1.0" encoding="utf-8"?>
<sst xmlns="http://schemas.openxmlformats.org/spreadsheetml/2006/main" count="944" uniqueCount="511">
  <si>
    <t>N° pos.</t>
  </si>
  <si>
    <t>Description</t>
  </si>
  <si>
    <t>Un.</t>
  </si>
  <si>
    <t>Quantité</t>
  </si>
  <si>
    <t>Prix CHF</t>
  </si>
  <si>
    <t>Montant CHF</t>
  </si>
  <si>
    <t>GQ</t>
  </si>
  <si>
    <t>100</t>
  </si>
  <si>
    <t>INSTALLATION, TRAVAUX PREPARATOIRES ET TRAVAUX DIVERS.</t>
  </si>
  <si>
    <t>101</t>
  </si>
  <si>
    <t>INSTALLATION DE CHANTIER</t>
  </si>
  <si>
    <t>101.1</t>
  </si>
  <si>
    <t>Installation de chantier soit : transport des machines et repli à la fin du chantier, installation base vie, toilettes et zones de stockage sécurisée.</t>
  </si>
  <si>
    <t>bl</t>
  </si>
  <si>
    <t>A</t>
  </si>
  <si>
    <t>Installation de chantier de chantier complémentaire pour repli du matériel et des machines pour l'interruption estivale</t>
  </si>
  <si>
    <t>102</t>
  </si>
  <si>
    <t>TRAVAUX PREPARATOIRES</t>
  </si>
  <si>
    <t>102.1</t>
  </si>
  <si>
    <t>Nettoyage du chantier après le repli total des autres entreprises, chargement et évacuation des déchets, inclus taxes.</t>
  </si>
  <si>
    <t>bloc</t>
  </si>
  <si>
    <t>102.2</t>
  </si>
  <si>
    <t>Fauchage du stock de terre végétale, évacuation des déchets verts avec présence de Renouée du Japon en centre spécialisé (Incinération Satom)</t>
  </si>
  <si>
    <t>102.3</t>
  </si>
  <si>
    <t>Mise à disposition et pose de clôtures de chantier, y compris transports aller-retour et dépose. Location pour la durée du chantier:</t>
  </si>
  <si>
    <t>102.3.1</t>
  </si>
  <si>
    <t>Clôture amovible zinguée, hauteur 200 cm, y compris socles mobiles en béton préfabriqués et brides de liaison.</t>
  </si>
  <si>
    <t>ml</t>
  </si>
  <si>
    <t>par</t>
  </si>
  <si>
    <t>W</t>
  </si>
  <si>
    <t>102.3.2</t>
  </si>
  <si>
    <t>Déplacement de clôture amovible type Heras. Uniquement sur demande écrite DT</t>
  </si>
  <si>
    <t>102.4.1</t>
  </si>
  <si>
    <t>Mise à disposition et mise en place de barrière type Heras, hauteur 200 cm, avec socles brides de liaison, pour événement festival EPFL Balelec.</t>
  </si>
  <si>
    <t>102.4.2</t>
  </si>
  <si>
    <t>Mise en place d'une bache plastique soignée et uniforme blanche sur toute la hauteur de la barrière heras</t>
  </si>
  <si>
    <t>102.5.1</t>
  </si>
  <si>
    <t>Dépose des tôles de la palissade de chantier, évacuation, inclus taxe.</t>
  </si>
  <si>
    <t>102.5.2</t>
  </si>
  <si>
    <t>Démolition des socles, dépose des poteaux, évacuation, inclus taxe de décharge.</t>
  </si>
  <si>
    <t>pce</t>
  </si>
  <si>
    <t>103.0</t>
  </si>
  <si>
    <t>Protection des ouvrages existants</t>
  </si>
  <si>
    <t>Fourniture et pose de nattes de protection, feuille polyéthylène et feutre géotextile 1100 gr/m2, inclus nettoyage après dépose selon nécessité.</t>
  </si>
  <si>
    <t>m2</t>
  </si>
  <si>
    <t xml:space="preserve">Fourniture et pose de nattes de protection, feuille pour polyéthylène pour protection des bas de façades </t>
  </si>
  <si>
    <t>105</t>
  </si>
  <si>
    <t>Démolition</t>
  </si>
  <si>
    <t>105.1</t>
  </si>
  <si>
    <t xml:space="preserve">Démolition de béton de propreté existant, épaisseur jusqu'à 20 cm, inclus chargement sur véhicule, évacuation, finance de décharge. </t>
  </si>
  <si>
    <t>105.2</t>
  </si>
  <si>
    <t>Démolition d'enrobé bitumineux, ép jusqu'à 15  cm, chargement sur véhicules pour évacuation</t>
  </si>
  <si>
    <t>105.3</t>
  </si>
  <si>
    <t>Décapage de piste de chantier en grave, ép 40 cm, chargement sur véhicule.</t>
  </si>
  <si>
    <t>105.4</t>
  </si>
  <si>
    <t>Dépose et évacuation de natte géotextile sous piste de chantier, inclus taxe.</t>
  </si>
  <si>
    <t>103</t>
  </si>
  <si>
    <t>TRAVAUX EN REGIE</t>
  </si>
  <si>
    <t>103.1</t>
  </si>
  <si>
    <t>Chef d'équipe</t>
  </si>
  <si>
    <t>h</t>
  </si>
  <si>
    <t>103.2</t>
  </si>
  <si>
    <t>Jardinier</t>
  </si>
  <si>
    <t>103.3</t>
  </si>
  <si>
    <t>Aide jardinier</t>
  </si>
  <si>
    <t>103.4</t>
  </si>
  <si>
    <t>Pelle 5 To avec machiniste</t>
  </si>
  <si>
    <t>103.5</t>
  </si>
  <si>
    <t>Dumper 3 To avec machiniste</t>
  </si>
  <si>
    <t>103.6</t>
  </si>
  <si>
    <t>Camion solo avec chauffeur</t>
  </si>
  <si>
    <t>103.7</t>
  </si>
  <si>
    <t>Camion grue avec chauffeur</t>
  </si>
  <si>
    <t/>
  </si>
  <si>
    <t>Total INSTALLATION, TRAVAUX PREPARATOIRES ET TRAVAUX DIVERS.</t>
  </si>
  <si>
    <t>200</t>
  </si>
  <si>
    <t>TERRASSEMENTS, REMBLAIEMENTS</t>
  </si>
  <si>
    <t>200.5</t>
  </si>
  <si>
    <t>Essai de portance sur fond d'encaissement avant mise en place de la grave.
Réalisation d'essai de plaque pour contrôle de la portance des sols, fourniture du rapport à la DT pour validation par le bureau d'ingénieur.</t>
  </si>
  <si>
    <t>int.</t>
  </si>
  <si>
    <t>201</t>
  </si>
  <si>
    <t>REGLAGE DES FONDS</t>
  </si>
  <si>
    <t>201.2</t>
  </si>
  <si>
    <t>Modulation +/- 10 cm, réglage des fonds de forme des coffres de revêtements, y.c. pente de min 3%. (Surfaces en dur), travail en déblais/remblais dans le rayon d'action de la machine.</t>
  </si>
  <si>
    <t>201.3</t>
  </si>
  <si>
    <t xml:space="preserve">Modulation +/- 5 cm, réglage final des fonds d'encaissement et décompactage du sous- sol à la machine avant mise en place de la terre végétale. Profondeur min. 20 cm, travail en déblais-remblais dans le rayon d'action de la machine. </t>
  </si>
  <si>
    <t>202</t>
  </si>
  <si>
    <t>CREUSE D'ENCAISSEMENTS</t>
  </si>
  <si>
    <t>202.1</t>
  </si>
  <si>
    <t>Creuse de fosses de plantations pour arbres d'essence majeure, décompactage du fond et des parois de la fosse, chargement sur engin ou mise en dépôt latéral, 9 m3 / arbre.
Volume théorique</t>
  </si>
  <si>
    <t>m3</t>
  </si>
  <si>
    <t>202.2</t>
  </si>
  <si>
    <t>Creuse de fosses de plantations pour arbres fruitiers, décompactage du fond et des parois de la fosse, chargement sur engin ou mise en dépôt latéral, 6 m3 / arbre.
Volume théorique</t>
  </si>
  <si>
    <t>Creuse de fosses de plantations pour arbustes, 0.5 m3 / arbuste
Volume théorique</t>
  </si>
  <si>
    <t>202.3</t>
  </si>
  <si>
    <t>Creuse d'encaissement pour socle de luminaires, dimensions 40 x 40 x 40 cm.
Exécution à la machine et à la main.</t>
  </si>
  <si>
    <t>Creuse d'encaissement pour socle de mâts vidéo, dimensions 60 x 60 x 60 cm.
Exécution à la machine et à la main.</t>
  </si>
  <si>
    <t>Creuse d'encaissement pour chambres de tirage 100 x 100 x 100 cm.
Exécution à la machine et à la main.</t>
  </si>
  <si>
    <t>Creuse d'encaissement pour support étrier à vélos, dimensions 40 x 40 x 40 cm
Exécution à la machine et à la main.</t>
  </si>
  <si>
    <t>203</t>
  </si>
  <si>
    <t>CREUSE DE FOUILLES</t>
  </si>
  <si>
    <t>203.1</t>
  </si>
  <si>
    <t>Exécution de fouilles pour réseau de drainage, dimension 40 x 30 cm, chargement sur véhicule.
Travail main-machine</t>
  </si>
  <si>
    <t>203.2</t>
  </si>
  <si>
    <t>Exécution de fouilles pour réseau d'éclairage, réglage et compactage.
Travail main-machine</t>
  </si>
  <si>
    <t>203.3</t>
  </si>
  <si>
    <t xml:space="preserve">Exécution de fouille en sur-profondeur, pour fosse de plantation plantes grimpantes coté bâtiment Odyssea.
Exécution et transport sur chantier uniquement manuel, situation entre mur et dalle béton existante, largeur 50 cm. </t>
  </si>
  <si>
    <t>204</t>
  </si>
  <si>
    <t>REMBLAYAGE</t>
  </si>
  <si>
    <t>204.1</t>
  </si>
  <si>
    <t>Remblayage des fouilles, compactage par couches successives.</t>
  </si>
  <si>
    <t>205.2</t>
  </si>
  <si>
    <t>Reprise et mise en place de terre de déblais, compactage par couche successives.</t>
  </si>
  <si>
    <t>205</t>
  </si>
  <si>
    <t>TRANSPORT, EVACUATION, y.c. tous chargement</t>
  </si>
  <si>
    <t>205.1</t>
  </si>
  <si>
    <t xml:space="preserve">Transport des terres sur chantier pour évacuation ou réutilisation sur site, distance 250 à 500 ml. </t>
  </si>
  <si>
    <t>Transport de grave dégrappée sur site, mise en dépôt sur site pour réutilisation ultérieure</t>
  </si>
  <si>
    <t xml:space="preserve">Transport et évacuation des déblais à la décharge, taxe incluse, cubé camion (sous réserve de la qualité du sol - DCMI) </t>
  </si>
  <si>
    <t>To</t>
  </si>
  <si>
    <t>205.3</t>
  </si>
  <si>
    <t>205.4</t>
  </si>
  <si>
    <t>Eventuel : évacuation en décharge DCMI</t>
  </si>
  <si>
    <t>205.5</t>
  </si>
  <si>
    <t xml:space="preserve">Evacuation d'enrobé bitumineux, HAP &lt;250 mg </t>
  </si>
  <si>
    <t>TOTAL TERRASSEMENTS, REMBLAIEMENTS</t>
  </si>
  <si>
    <t>300</t>
  </si>
  <si>
    <t>RECOLTE DES EAUX, DRAINAGE, RESEAUX</t>
  </si>
  <si>
    <t>301</t>
  </si>
  <si>
    <t>DRAINAGES</t>
  </si>
  <si>
    <t>301.1</t>
  </si>
  <si>
    <t>Fourniture et pose de géotextile non-tissé de protection, type Stratex 800 g/m2</t>
  </si>
  <si>
    <t>Q</t>
  </si>
  <si>
    <t>301.2</t>
  </si>
  <si>
    <t>Fourniture et mise en place d'une natte de drainage Bauder NF 15  pour surface carrossable, inclus recouvrements et débordements.</t>
  </si>
  <si>
    <t>301.3</t>
  </si>
  <si>
    <t>Fourniture et mise en place de gravier 16-32 mm pour chemise drainante.</t>
  </si>
  <si>
    <t>301.4</t>
  </si>
  <si>
    <t>Fourniture et mise en place de natte filtrante tissé pour chemise drainante.</t>
  </si>
  <si>
    <t>302</t>
  </si>
  <si>
    <t xml:space="preserve">RÉCOLTE DES EAUX DE SURFACE </t>
  </si>
  <si>
    <t>302.1</t>
  </si>
  <si>
    <t>Fourniture et pose sur lit de béton de caniveau type Ln 150 avec ou sans pente intégrée, inclus grille passerelle C 250.</t>
  </si>
  <si>
    <t>302.2</t>
  </si>
  <si>
    <t>Fourniture et pose sur lit de béton d'avaloir dessableur pour caniveau type Ln 150 avec récipient, inclus grille fonte C 250.</t>
  </si>
  <si>
    <t>p</t>
  </si>
  <si>
    <t>302.3</t>
  </si>
  <si>
    <t>Fourniture et pose de regard de contrôle Ø 30 hauteur 50 avec couvercle en ciment
Localisation : secteur sur dalle.</t>
  </si>
  <si>
    <t>302.6</t>
  </si>
  <si>
    <t>Fourniture et pose de tuyaux PVC Ø 125 mm, y.c. façon des joints.</t>
  </si>
  <si>
    <t>302.7</t>
  </si>
  <si>
    <t>Plus-value pour fourniture et pose de pièces spéciales Ø 125 mm</t>
  </si>
  <si>
    <t>302.8</t>
  </si>
  <si>
    <t>Raccordement aux réseaux existant, inclus percement nécessaires, finition propre pour habillage du tour des conduites.</t>
  </si>
  <si>
    <t>up</t>
  </si>
  <si>
    <t>304</t>
  </si>
  <si>
    <t>PROTECTION DE CANALISATION</t>
  </si>
  <si>
    <t>304.1</t>
  </si>
  <si>
    <t>Enrobage au béton pour protection de canalisation PVC, 120 l/ml</t>
  </si>
  <si>
    <t>305</t>
  </si>
  <si>
    <t>PROTECTION DE CÂBLES</t>
  </si>
  <si>
    <t>305.1</t>
  </si>
  <si>
    <t>Fourniture et pose de tube de protection de câble PE 40-50 mm souple-annelé</t>
  </si>
  <si>
    <t xml:space="preserve">Fourniture et pose de tube de protection de câble PE 60-72 mm </t>
  </si>
  <si>
    <t>305.2</t>
  </si>
  <si>
    <t>Fourniture et mise en place de sable 0-4 mm pour enrobage des conduites PE.</t>
  </si>
  <si>
    <t>305.3</t>
  </si>
  <si>
    <t>Fourniture et pose d'une bande de signalisation, pour l'avertissement du réseau électrique</t>
  </si>
  <si>
    <t>305.4</t>
  </si>
  <si>
    <t>Réalisation de chambres de tirages, fourniture et pose de tube en béton, diamètre 60 cm, hauteur 60 cm, scellement au béton.</t>
  </si>
  <si>
    <t>305.5</t>
  </si>
  <si>
    <t>Réalisation de chambres de tirages, fourniture et pose de tube en béton, diamètre 80 cm, hauteur 100 cm, scellement au béton, inclus cône de réduction.</t>
  </si>
  <si>
    <t>305.6</t>
  </si>
  <si>
    <t>Fourniture et pose de couvercle en fonte diamètre 60 cm, classe C 250.</t>
  </si>
  <si>
    <t>Fourniture et pose de couvercle à bétonner en fonte diamètre 60 cm, classe C 250.</t>
  </si>
  <si>
    <t>305.7</t>
  </si>
  <si>
    <t xml:space="preserve">Introduction et raccordement des tubes dans les chambres, rhabillage et étanchéité. </t>
  </si>
  <si>
    <t>306</t>
  </si>
  <si>
    <t>RÉSEAU D'EAU</t>
  </si>
  <si>
    <t>306.1</t>
  </si>
  <si>
    <t>Fourniture et pose de tuyau PE diamètre 32 mm, enrobage au sable, mise en place de bande de signalisation.</t>
  </si>
  <si>
    <t>307</t>
  </si>
  <si>
    <t>CHAMBRES</t>
  </si>
  <si>
    <t>307.1</t>
  </si>
  <si>
    <t>Réhaussement de chambres existante diamètre 600 mm, inclus dépose de cône selon nécessité, coupe pour ajustement, remise en place, fourniture et pose d'anneau, scellement du couvercle, hauteur jusqu'à 50 cm.</t>
  </si>
  <si>
    <t>307.2</t>
  </si>
  <si>
    <t>Réhaussement de chambres existante diamètre 800 mm, inclus dépose de cône selon nécessité, coupe pour ajustement, remise en place, fourniture et pose d'anneau, scellement du couvercle, hauteur jusqu'à 50 cm.</t>
  </si>
  <si>
    <t>307.3</t>
  </si>
  <si>
    <t>Abaissement de chambres existante diamètre 600 mm, inclus dépose de cône selon nécessité, coupe pour ajustement, remise en place, scellement du couvercle, hauteur jusqu'à 50 cm.</t>
  </si>
  <si>
    <t>307.4</t>
  </si>
  <si>
    <t>Abaissement de chambres existante diamètre 800 mm, inclus dépose de cône selon nécessité, coupe pour ajustement, remise en place, scellement du couvercle, hauteur jusqu'à 50 cm.</t>
  </si>
  <si>
    <t>307.5</t>
  </si>
  <si>
    <t>Fourniture et pose de couvercle remplissable à bétonner D 400, diamètre 600 mm</t>
  </si>
  <si>
    <t>TOTAL RECOLTE DES EAUX, DRAINAGE, RESEAUX</t>
  </si>
  <si>
    <t>400</t>
  </si>
  <si>
    <t>REVÊTEMENTS DE SOL, BORDURES</t>
  </si>
  <si>
    <t>401</t>
  </si>
  <si>
    <t>COFFRES DE REVETEMENT</t>
  </si>
  <si>
    <t>Dans les postes de fourniture sont compris tous les éventuels transports intermédiaires</t>
  </si>
  <si>
    <t>401.1</t>
  </si>
  <si>
    <t>Compactage des fonds d'encaissement, inclus plus valu pour compactage le long des ouvrages.</t>
  </si>
  <si>
    <t>401.2</t>
  </si>
  <si>
    <t>Fourniture et pose d'une natte géotextile non tissé 150 gr / m2 pour séparation des fonds d'encaissement, y compris recouvrement.</t>
  </si>
  <si>
    <t>401.3</t>
  </si>
  <si>
    <t>Fourniture et mise en place de grave GNT 0-45,  y compris compactage
épaisseur jusqu'à 30 cm, cubé camion</t>
  </si>
  <si>
    <t>401.4</t>
  </si>
  <si>
    <t>Moins value pour réutilisation de la grave dégrappée.</t>
  </si>
  <si>
    <t>Fourniture et mise en place de grave GNT 0-22,  y compris compactage
épaisseur 5 cm en place</t>
  </si>
  <si>
    <t>401.5</t>
  </si>
  <si>
    <t>Fourniture et mise en place de mélange terre pierre, mélange 65 % pierre concassée 60-100 mm carrière Grandjean à Enney, 35 % terre végétale.
Compactage sans vibration par couche successives.</t>
  </si>
  <si>
    <t>401.6</t>
  </si>
  <si>
    <t>Essai de portance sur coffre de fondation mise en place de la grave et compactage.
Réalisation d'essai de plaque pour contrôle de la portance des sols, fourniture du rapport à la DT pour validation par le bureau d'ingénieur.</t>
  </si>
  <si>
    <t>402</t>
  </si>
  <si>
    <t>BORDURES</t>
  </si>
  <si>
    <t>402.1</t>
  </si>
  <si>
    <t>Délimitation des cheminements
Fourniture et pose sur lit de béton continu, de bordure en acier brut , dimensions 8 x 250 mm, inclus pattes de scellement et raccordement.</t>
  </si>
  <si>
    <t>402.2</t>
  </si>
  <si>
    <t>Plus value sur pos 402.1 pour pose en courbe, tout rayon, inclus toutes prestations nécessaires.</t>
  </si>
  <si>
    <t>Fourniture et pose de bordure en béton type Etat de Vaud, dimension 200 x 240 mm , lit de pose et calage béton CP 250, coupes et ajustement.</t>
  </si>
  <si>
    <t>Fourniture et pose de bordure en béton type Etat de Vaud, dimension 200 x 136 mm , lit de pose et calage béton CP 250, coupes et ajustement.</t>
  </si>
  <si>
    <t>Plus value sur pos 401.3 et 401.4 pour pose en courbe, tout rayon.</t>
  </si>
  <si>
    <t>404</t>
  </si>
  <si>
    <t>SURFACE ENROBÉ BITUMINEUX</t>
  </si>
  <si>
    <t>ACCES CARROSSABLES</t>
  </si>
  <si>
    <t>404.1</t>
  </si>
  <si>
    <t>Fourniture et mise en oeuvre d'enrobé ACT 22 S, ép 8 cm pour couche de support</t>
  </si>
  <si>
    <t>404.2</t>
  </si>
  <si>
    <t>Nettoyage et encollage du support</t>
  </si>
  <si>
    <t>404.3</t>
  </si>
  <si>
    <t>Fourniture et mise en oeuvre d'enrobé AC 11 S, ép 4 cm pour couche d'usure</t>
  </si>
  <si>
    <t>TROTTOIR</t>
  </si>
  <si>
    <t>Fourniture et mise en oeuvre d'enrobé ACT 16 N, ép 6 cm pour couche de support</t>
  </si>
  <si>
    <t>Fourniture et mise en oeuvre d'enrobé AC 8 N, ép 3 cm pour couche d'usure</t>
  </si>
  <si>
    <t>405</t>
  </si>
  <si>
    <t>SURFACE EN BÉTON</t>
  </si>
  <si>
    <t>405.1</t>
  </si>
  <si>
    <t>Fourniture et mise en place d'une feuille polythylène.</t>
  </si>
  <si>
    <t>Fourniture et mise en place de béton maigre, ép 5 cm</t>
  </si>
  <si>
    <t>405.2</t>
  </si>
  <si>
    <t>Coffrage périphérique haut 18 cm</t>
  </si>
  <si>
    <t>405.3</t>
  </si>
  <si>
    <t>Fourniture et pose de coffrage pour joint d'arrêt et dilatation.</t>
  </si>
  <si>
    <t>405.4</t>
  </si>
  <si>
    <t>Fourniture et pose de goujon de reprise type Cret 10.</t>
  </si>
  <si>
    <t>405.5</t>
  </si>
  <si>
    <t>Fourniture et pose de panier de support avec pied plastique hauteur 60 mm</t>
  </si>
  <si>
    <t>Fourniture et pose de panier de support hauteur 120 mm</t>
  </si>
  <si>
    <t>405.6</t>
  </si>
  <si>
    <t xml:space="preserve">Fourniture et pose de treillis double nappe avec boucle, Artec B 424. </t>
  </si>
  <si>
    <t>kg</t>
  </si>
  <si>
    <t>405.8.1</t>
  </si>
  <si>
    <t>Fourniture et mise en place de béton NPKG C 30-37, ép 20 cm.</t>
  </si>
  <si>
    <t>405.8.2</t>
  </si>
  <si>
    <t>Fourniture et mise en place de béton K04blanc C 30/37 molle (C3) moyenne 16 mm Ammocret Blanc ép 20 cm</t>
  </si>
  <si>
    <t>405.9.1</t>
  </si>
  <si>
    <t>Finition de surface désactivé.
Application d'un désactivant de surface, nettoyage de la surface au nettoyeur haute pression.
Récolte et évacuation en décharge appropriée, des résidus de désactivage de la surface.</t>
  </si>
  <si>
    <t>405.9.2</t>
  </si>
  <si>
    <t>Finition balayé.
Talochage et balayage de la surface.</t>
  </si>
  <si>
    <t>405.9.3</t>
  </si>
  <si>
    <t>Finition sablée.
Sablage de la surface selon choix échantillon , inclus dispositif de protection des surfaces existantes, nettoyage après intervention du sablage.</t>
  </si>
  <si>
    <t>405.9.4</t>
  </si>
  <si>
    <t>Finition bouchardée.
Bouchardage de la surface selon choix échantillon , inclus dispositif de protection des surfaces existantes, nettoyage après intervention.</t>
  </si>
  <si>
    <t>405.10</t>
  </si>
  <si>
    <t>Pulvérisation d'un produit de cure</t>
  </si>
  <si>
    <t>405.11</t>
  </si>
  <si>
    <t>Sciage de joint de fissuration, prof 60 mm</t>
  </si>
  <si>
    <t>405.12</t>
  </si>
  <si>
    <t>Réalisation d'échantillons de béton 150 cm x 150 cm x 20 cm, évacuation taxe après choix MO
Finitions des échantillons à choix MO</t>
  </si>
  <si>
    <t>406</t>
  </si>
  <si>
    <t>REVÊTEMENT PERMÉABLE STABILISÉE</t>
  </si>
  <si>
    <t>406.1</t>
  </si>
  <si>
    <t xml:space="preserve">Fourniture et mise en place de gravier gras d'Enney 0-16 mm pour couche de support, ép 5-6 cm </t>
  </si>
  <si>
    <t>406.2</t>
  </si>
  <si>
    <t>Fourniture et mise en place de gravier gras d'Enney 0-8 mm pour couche supérieure, ép 3-4 cm</t>
  </si>
  <si>
    <t>406.3</t>
  </si>
  <si>
    <t>Fourniture et épandage de gravier de finition 3-5 mm, ép 1 cm</t>
  </si>
  <si>
    <t>407</t>
  </si>
  <si>
    <t>PIEDS DE FAÇADE</t>
  </si>
  <si>
    <t>407.1</t>
  </si>
  <si>
    <t>Éventuel, fourniture et pose en pied de façade, natte en PEHD, type Delta MS</t>
  </si>
  <si>
    <t>407.2</t>
  </si>
  <si>
    <t>Exécution des pieds de façade, soit :
Fourniture et mise en place de gravier 16-32, épaisseur 45 cm, largeur 50 cm.</t>
  </si>
  <si>
    <t>407.3</t>
  </si>
  <si>
    <t>Éventuel fourniture et pose en pied de façade bordure en acier brut, dimensions 6 x 150 mm.</t>
  </si>
  <si>
    <t>TOTAL REVÊTEMENTS DE SOL, BORDURES</t>
  </si>
  <si>
    <t>500</t>
  </si>
  <si>
    <t>OUVRAGES DIVERS</t>
  </si>
  <si>
    <t>501</t>
  </si>
  <si>
    <t>SOUTENEMENT AMPHITHEATRE</t>
  </si>
  <si>
    <t>501.1</t>
  </si>
  <si>
    <t>Fourniture et scellement dans massif béton, de profil UPN 100 x 50 x 800 mm en acier brut.</t>
  </si>
  <si>
    <t>501.2</t>
  </si>
  <si>
    <t>Fourniture et pose en courbe de profil plat 400 x 10 mm, fixation par soudure aux profils UPN.</t>
  </si>
  <si>
    <t>501.3</t>
  </si>
  <si>
    <t>Fourniture et pose de natte drainante Delta MS à l'arrière des profils acier.</t>
  </si>
  <si>
    <t>502</t>
  </si>
  <si>
    <t>ESCALIERS AMPHITHEATRE</t>
  </si>
  <si>
    <t>502.1</t>
  </si>
  <si>
    <t>Fourniture et pose scellée sur fondation béton, de marches d'escalier en pierre calcaire 90 x 55 x 15 cm, finition supérieure tranchée, chants éclatés.</t>
  </si>
  <si>
    <t>503</t>
  </si>
  <si>
    <t>SOUTENEMENT BAC PLANTATION</t>
  </si>
  <si>
    <t>503.1</t>
  </si>
  <si>
    <t>Réalisation de socles de fondation ponctuels, dimension 45 x 45 x 40 cm.</t>
  </si>
  <si>
    <t>503.2</t>
  </si>
  <si>
    <t>Fourniture et pose de soutènement pour bac, type Rèhôchi avec rebord supérieur, hauteur 600 mm, ép 3 mm , acier Corten.</t>
  </si>
  <si>
    <t>TOTAL OUVRAGES DIVERS</t>
  </si>
  <si>
    <t>600</t>
  </si>
  <si>
    <t>SUBSTRAT, TERRE VEGETALE, PREPARATION DES SOLS</t>
  </si>
  <si>
    <t>601</t>
  </si>
  <si>
    <t>FOURNITURE DE TERRE VÉGÉTALE</t>
  </si>
  <si>
    <t>601.1</t>
  </si>
  <si>
    <t>Fourniture de terre végétale de 1ère qualité.
Cubé foisonné.</t>
  </si>
  <si>
    <t>601.2</t>
  </si>
  <si>
    <t>Fourniture de mélange terre pierre, mélange 65 % pierre concassée 60-100 mm carrière Grandjean à Enney, 35 % terre végétale.</t>
  </si>
  <si>
    <t>602</t>
  </si>
  <si>
    <t>MISE EN PLACE DE TERRE VÉGÉTALE</t>
  </si>
  <si>
    <t>602.1</t>
  </si>
  <si>
    <t>Chargement et transport de terre végétale depuis un site extérieur, distance max de 10 km.</t>
  </si>
  <si>
    <t>602.2</t>
  </si>
  <si>
    <t>Reprise, transport de terre végétale sur chantier, mise en place et réglage +/- 5 cm, ép 30 cm après tassement.
Cubé foisonné.</t>
  </si>
  <si>
    <t>602.3</t>
  </si>
  <si>
    <t>Fourniture et mise en place de compost horticole pour amendement organique.</t>
  </si>
  <si>
    <t>602.4</t>
  </si>
  <si>
    <t>Mise en place de mélange terre pierre, compactage sans vibration par couche successives.</t>
  </si>
  <si>
    <t>602.5</t>
  </si>
  <si>
    <t>Fourniture et mise en place de mélange terre-gravier 30-70 %, concassé 16-22, pour surfaces carrossables pompier, épaisseur 20 cm en place.</t>
  </si>
  <si>
    <t>602.6</t>
  </si>
  <si>
    <t>Fourniture et mise en place de substrat de plantation enrichi pour bac de plantation des plantes grimpantes.</t>
  </si>
  <si>
    <t>603</t>
  </si>
  <si>
    <t>TRAVAIL DU SOL</t>
  </si>
  <si>
    <t>603.1</t>
  </si>
  <si>
    <t>Ameublissement de la terre végétale à la machine et à la main sur toutes les surfaces à planter et à ensemencer, deux passages croisés.</t>
  </si>
  <si>
    <t>603.2</t>
  </si>
  <si>
    <t xml:space="preserve">Réglage et nivellement fin, ramassage et évacuation des pierres, racines et autres déchets. </t>
  </si>
  <si>
    <t>TOTAL SUBSTRAT, TERRE VEGETALE, PREPARATION DES SOLS</t>
  </si>
  <si>
    <t>700</t>
  </si>
  <si>
    <t>PLANTATIONS, ENSEMENCEMENTS</t>
  </si>
  <si>
    <t>701</t>
  </si>
  <si>
    <t xml:space="preserve">ENSEMENCEMENTS </t>
  </si>
  <si>
    <t>701.1</t>
  </si>
  <si>
    <t>Ensemencement de Prairie fleurie riche en espèces, composée de fleurs et graminées sauvages CH, à raison de 10 g/m2.</t>
  </si>
  <si>
    <t>701.2</t>
  </si>
  <si>
    <t>Première fauche de prairie, y compris sur-semis selon besoins. Ramassage et évacuation</t>
  </si>
  <si>
    <t>Deuxième fauche de prairie. Ramassage après 10 jous de séchage en place et évacuation</t>
  </si>
  <si>
    <t>702</t>
  </si>
  <si>
    <t>FOURNITURE DES VEGETAUX</t>
  </si>
  <si>
    <t>702.1</t>
  </si>
  <si>
    <t>Pinus sylvestris tiges 900-1000 cm</t>
  </si>
  <si>
    <t>702.2</t>
  </si>
  <si>
    <t>Quercus robur tige 700-800 cm</t>
  </si>
  <si>
    <t>702.3</t>
  </si>
  <si>
    <t>Quercus robur tige 500-600 cm</t>
  </si>
  <si>
    <t>702.4</t>
  </si>
  <si>
    <t>Quercus robur tige 350-400 cm</t>
  </si>
  <si>
    <t>702.5</t>
  </si>
  <si>
    <t>Quercus robur 175-200 cm</t>
  </si>
  <si>
    <t>702.6</t>
  </si>
  <si>
    <t>Carpinus betulus 600-700 cm</t>
  </si>
  <si>
    <t>702.7</t>
  </si>
  <si>
    <t>Carpinus betulus 350-400 cm</t>
  </si>
  <si>
    <t>702.8</t>
  </si>
  <si>
    <t>Acer campestre 350-400 cm</t>
  </si>
  <si>
    <t>702.9</t>
  </si>
  <si>
    <t>Tilia cordata 600-700 cm</t>
  </si>
  <si>
    <t>702.10</t>
  </si>
  <si>
    <t>Pinus sylvestris 600-700 cm</t>
  </si>
  <si>
    <t>702.11</t>
  </si>
  <si>
    <t>Amelanchier ovalis 150-200 cm</t>
  </si>
  <si>
    <t>702.12</t>
  </si>
  <si>
    <t>Cornus mas 150-200 cm</t>
  </si>
  <si>
    <t>702.13</t>
  </si>
  <si>
    <t>Viburnum lantana 150-200 cm</t>
  </si>
  <si>
    <t>702.14</t>
  </si>
  <si>
    <t>Arbres fruitiers 18-20 cm</t>
  </si>
  <si>
    <t>702.15</t>
  </si>
  <si>
    <t>Trachelospermum jasminoides haies préformée qualité haute, hauteur 180 cm, largeur 80-100 cm, épaisseur 25-35 cm</t>
  </si>
  <si>
    <t>703</t>
  </si>
  <si>
    <t>PLANTATIONS</t>
  </si>
  <si>
    <t>703.1</t>
  </si>
  <si>
    <t>Plantation des végétaux, soit : ouverture des fosses, transport de la terre végétale excavée et mise en place dans l'emprise du chantier, distribution des végétaux, plantation, taille selon nécessité, formation de la cuvette et arrosage copieux.</t>
  </si>
  <si>
    <t>703.1.1</t>
  </si>
  <si>
    <t>Arbres 900-1000 cm</t>
  </si>
  <si>
    <t>703.1.2</t>
  </si>
  <si>
    <t>Arbres 700-800 cm</t>
  </si>
  <si>
    <t>703.1.3</t>
  </si>
  <si>
    <t>Arbres 600-700 cm</t>
  </si>
  <si>
    <t>703.1.4</t>
  </si>
  <si>
    <t>Arbres 500-600 cm</t>
  </si>
  <si>
    <t>703.1.5</t>
  </si>
  <si>
    <t>Arbres 300-400 cm</t>
  </si>
  <si>
    <t>703.1.6</t>
  </si>
  <si>
    <t>Arbres 175-200 cm</t>
  </si>
  <si>
    <t>703.1.7</t>
  </si>
  <si>
    <t>703.1.8</t>
  </si>
  <si>
    <t>Arbustes 150-200 cm</t>
  </si>
  <si>
    <t>Trachelospermum haie préformée 180 cm</t>
  </si>
  <si>
    <t>704</t>
  </si>
  <si>
    <t>TUTEURAGE, PROTECTION DES TRONCS</t>
  </si>
  <si>
    <t>704.1</t>
  </si>
  <si>
    <t>Fourniture et mise en place de treillis K 335 pour support d'ancrage de motte.</t>
  </si>
  <si>
    <t>704.2</t>
  </si>
  <si>
    <t>Fourniture et mise en place d'ancrage de motte, GEFA Treelock 25</t>
  </si>
  <si>
    <t>Fourniture et mise en place d'ancrage de motte, GEFA Treelock 50</t>
  </si>
  <si>
    <t>Fourniture et mise en place d'ancrage de motte, GEFA Treelock 90</t>
  </si>
  <si>
    <t>Haubanage triple par câbles inox, fixation sur pieux bois fichés en biais dans le sol, tendeur inox.</t>
  </si>
  <si>
    <t>704.3</t>
  </si>
  <si>
    <t>Tuteurage tripode hauteur 200 cm, latte supérieure, y compris attaches type GEFA.</t>
  </si>
  <si>
    <t>Tuteurage simple en biais hauteur 150 cm, y compris attache corde coco</t>
  </si>
  <si>
    <t>750</t>
  </si>
  <si>
    <t>ENTRETIEN DES VEGETAUX ET SURFACE DE PRAIRIE</t>
  </si>
  <si>
    <t>751</t>
  </si>
  <si>
    <t>Arbres</t>
  </si>
  <si>
    <t>751.1</t>
  </si>
  <si>
    <t>Contrôle du bon maintien des tuteurages, vérification des attaches et de la protection des troncs.</t>
  </si>
  <si>
    <t>pas.</t>
  </si>
  <si>
    <t>751.2</t>
  </si>
  <si>
    <t>Contrôle, désherbage  et remise en forme des cuvettes d'arrosage.</t>
  </si>
  <si>
    <t>751.3</t>
  </si>
  <si>
    <t>Vérification des l'état sanitaire des arbres, traitement anti-parasitaire selon nécessité</t>
  </si>
  <si>
    <t>751.4</t>
  </si>
  <si>
    <t>Arrosage copieux pendant les périodes de fortes chaleurs et/ou faibles précipitations.</t>
  </si>
  <si>
    <t>751.5</t>
  </si>
  <si>
    <t>Taille hivernale de formation et nettoyage, ramassage et évacuation des déchets.</t>
  </si>
  <si>
    <t>752</t>
  </si>
  <si>
    <t>Arbustes</t>
  </si>
  <si>
    <t>752.1</t>
  </si>
  <si>
    <t>Désherbage du pieds des arbustes, complément de la couverture du sol selon nécessité.</t>
  </si>
  <si>
    <t>752.2</t>
  </si>
  <si>
    <t>752.3</t>
  </si>
  <si>
    <t>753</t>
  </si>
  <si>
    <t>Surfaces prairies</t>
  </si>
  <si>
    <t>753.1</t>
  </si>
  <si>
    <t>Fauche des surfaces de prairies sur les zones périphériques aux voies de cheminement et circulation, ramassage et évacuation.
Largeur 50 cm, longueur 963 ml.</t>
  </si>
  <si>
    <t>753.2</t>
  </si>
  <si>
    <t>Fauche des surfaces de prairies, ramassage et évacuation après 2 semaines au sol pour favoriser le développement des espèces.</t>
  </si>
  <si>
    <t>753.3</t>
  </si>
  <si>
    <t>Elimination manuelle des espèces adventices spontanées dans les surfaces de prairies et gazon</t>
  </si>
  <si>
    <t>TOTAL PLANTATIONS, ENSEMENCEMENTS</t>
  </si>
  <si>
    <t>800</t>
  </si>
  <si>
    <t>ARROSAGE</t>
  </si>
  <si>
    <t>830.1</t>
  </si>
  <si>
    <t>Fourniture et pose, robinet de jardin avec regard en fonte grise, avec tête Easy-Top</t>
  </si>
  <si>
    <t>Total ARROSAGE</t>
  </si>
  <si>
    <t>900</t>
  </si>
  <si>
    <t>EQUIPEMENTS</t>
  </si>
  <si>
    <t>901</t>
  </si>
  <si>
    <t>SOCLES</t>
  </si>
  <si>
    <t>901.1</t>
  </si>
  <si>
    <t>Réalisation de socle d'éclairage, dimensions 40 x 40 x 40 cm, y compris coffrage propre et réserve pour passage de câbles.</t>
  </si>
  <si>
    <t>P</t>
  </si>
  <si>
    <t>Réalisation de socle pour mâts vidéo, dimensions 60 x 60 x 60 cm, y compris coffrage propre et réserve pour passage de câbles.</t>
  </si>
  <si>
    <t>Réalisation de socle pour étrier d'appui, dimensions 40 x 40 x 40 cm, y compris coffrage propre.</t>
  </si>
  <si>
    <t>Réalisation de socle pour coffret Gifas, compris coffrage propre et réserve pour passage de câbles.</t>
  </si>
  <si>
    <t>902</t>
  </si>
  <si>
    <t>ALIMENTATION ELECTRIQUE</t>
  </si>
  <si>
    <t>902.1</t>
  </si>
  <si>
    <t>Fourniture et pose de boitier Gifas Campetto XL  ref 227028
boite de sol  Long 850 X larg 500 X Prof 750 mm
couvercle remplissable C 250.
Pose, remblayage avec gravier 16-32 mm, pose d'un drain flexible diamètre 90 mm, raccordement sur chambre EC</t>
  </si>
  <si>
    <t>903</t>
  </si>
  <si>
    <t>STATIONNEMENT VÉLOS ET TROTINETTES</t>
  </si>
  <si>
    <t>903.1</t>
  </si>
  <si>
    <t>Fourniture et scellement de support à vélo unilatéral 8 emplacements, Velopa Rock 90, entraxe 550 mm.</t>
  </si>
  <si>
    <t>903.2</t>
  </si>
  <si>
    <t>Fourniture et scellement de support à vélo bilatéral 3/6 emplacements, modèle Velopa Rock 90, entraxe 450 mm.</t>
  </si>
  <si>
    <t>903.3</t>
  </si>
  <si>
    <t>Fourniture et scellement de support à vélo bilatéral 4/8 emplacements, modèle Velopa Rock 90, entraxe 450 mm.</t>
  </si>
  <si>
    <t>903.4</t>
  </si>
  <si>
    <t>Fourniture et scellement de support à vélo bilatéral 6/12 emplacements, modèle Velopa Rock 90, entraxe 450 mm.</t>
  </si>
  <si>
    <t>903.5</t>
  </si>
  <si>
    <t>Fourniture et scellement de support à vélo double étage unilatéral 6 (3+3) emplacements, modèle Velopa Étage '2'Plus, entraxe 400/450 mm</t>
  </si>
  <si>
    <t>903.6</t>
  </si>
  <si>
    <t>Fourniture et scellement de support à vélo double étage unilatéral 8 (4+4) emplacements, modèle Velopa Étage '2'Plus, entraxe 400/450 mm</t>
  </si>
  <si>
    <t>903.7</t>
  </si>
  <si>
    <t>Fourniture et scellement de support à vélo double étage unilatéral 10 (5+5) emplacements, modèle Velopa Étage '2'Plus, entraxe 400/450 mm</t>
  </si>
  <si>
    <t>903.8</t>
  </si>
  <si>
    <t>Fourniture et scellement de support à vélo double étage unilatéral 12 (6+6) emplacements, modèle Velopa Étage '2'Plus, entraxe 400/450 mm</t>
  </si>
  <si>
    <t>903.9</t>
  </si>
  <si>
    <t>Fourniture et scellement de support à vélo double étage bilatéral 12 ((3+3)X2) emplacements, modèle Velopa Étage '2'Plus, entraxe 400/450 mm</t>
  </si>
  <si>
    <t>903.10</t>
  </si>
  <si>
    <t>Fourniture et scellement de support à vélo double étage bilatéral 20 ((5+5)X2) emplacements, modèle Velopa Étage '2'Plus, entraxe 400/450 mm</t>
  </si>
  <si>
    <t>903.11</t>
  </si>
  <si>
    <t xml:space="preserve">Fourniture et pose de support à trotinette unilatéral 1 emplacement, modèle Velopa Micro </t>
  </si>
  <si>
    <t>903.12</t>
  </si>
  <si>
    <t>Fourniture et pose de casiers de recharge, 4 emplacements, modèle Velopa système d'armoire 4 Box E-Box, RAL à choix MO</t>
  </si>
  <si>
    <t>903.13</t>
  </si>
  <si>
    <t xml:space="preserve">Fourniture et pose de station de réparation pour vélos, modèle Velopa Velopump RepAir station de maintenance, RAL à choix MO, Art 03183425. </t>
  </si>
  <si>
    <t>904</t>
  </si>
  <si>
    <t>CORBEILLE A DÉCHETS</t>
  </si>
  <si>
    <t>904.1</t>
  </si>
  <si>
    <t>Fourniture et pose de corbeilles à déchets type Requin 110 l, avec cendriers.</t>
  </si>
  <si>
    <t>905</t>
  </si>
  <si>
    <t>BORNE ESCAMOTABLE
Fourniture, pose et mise en service de borne automatique comprenant :</t>
  </si>
  <si>
    <t>905.1</t>
  </si>
  <si>
    <t>cylindre en acier inox fin brossé diamètre 275 x 600 x 6 mm,
coffrage en acier galvanisé
pompe hydraulique intégrée
chauffage intégré pour temp. jusque à - 40 ° C
bande LED sur tête de borne
prestostat 60 kg pour sécurité
abaissement automatique en cas de coupure de courant</t>
  </si>
  <si>
    <t>905.2</t>
  </si>
  <si>
    <t>Fourniture et pose de boucle à induction de sécurité, détecteur pour circuit d'induction 2 canaux</t>
  </si>
  <si>
    <t>905.3</t>
  </si>
  <si>
    <t>Fourniture et pose de boucle à induction de sortie, détecteur pour circuit d'induction 2 canaux</t>
  </si>
  <si>
    <t>905.4</t>
  </si>
  <si>
    <t>Carte de commande pour installation avec borne master</t>
  </si>
  <si>
    <t>905.5</t>
  </si>
  <si>
    <t>Colone d'annonce en inox :
300 x 300 x 1500 mm 
2 feux rouge/2 feux orange
clé et lecteur externe intégré
interrupteur à clef en aluminium sans cylindre *F* Pompier
interrupteur à clef en aluminium sans cylindre 29 mm</t>
  </si>
  <si>
    <t>TOTAL EQUIPEMENTS</t>
  </si>
  <si>
    <t>Total brut</t>
  </si>
  <si>
    <t>TVA</t>
  </si>
  <si>
    <t>%</t>
  </si>
  <si>
    <t>Assurance</t>
  </si>
  <si>
    <t>Plus-value pour bennes, uniquement en cas d’exigences DT, non compté pour travaux géré par l’entreprise. Taxe incluse</t>
  </si>
  <si>
    <t>101.2</t>
  </si>
  <si>
    <t xml:space="preserve">Prorata - Frais logistique </t>
  </si>
  <si>
    <t>Arrêté pour forfait</t>
  </si>
  <si>
    <t>Total net TTC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</si>
</sst>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2"/>
      <color theme="1"/>
      <name val="Aptos Narrow"/>
      <family val="2"/>
      <scheme val="minor"/>
    </font>
    <font>
      <b/>
      <sz val="11"/>
      <color theme="1"/>
      <name val="Aptos Narrow"/>
      <family val="2"/>
      <scheme val="minor"/>
    </font>
    <font>
      <strike/>
      <sz val="12"/>
      <color theme="1"/>
      <name val="Aptos Narrow"/>
      <family val="2"/>
      <scheme val="minor"/>
    </font>
    <font>
      <b/>
      <sz val="12"/>
      <color theme="1"/>
      <name val="Aptos Narrow"/>
      <family val="2"/>
      <scheme val="minor"/>
    </font>
  </fonts>
  <fills count="7">
    <fill>
      <patternFill patternType="none"/>
    </fill>
    <fill>
      <patternFill patternType="gray125"/>
    </fill>
    <fill>
      <patternFill patternType="solid">
        <fgColor indexed="22"/>
        <bgColor indexed="64"/>
      </patternFill>
    </fill>
    <fill>
      <patternFill patternType="solid">
        <fgColor rgb="FFFFE885"/>
        <bgColor indexed="64"/>
      </patternFill>
    </fill>
    <fill>
      <patternFill patternType="solid">
        <fgColor rgb="FF92D050"/>
        <bgColor indexed="64"/>
      </patternFill>
    </fill>
    <fill>
      <patternFill patternType="solid">
        <fgColor theme="0"/>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xfId="0"/>
    <xf numFmtId="49"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0" fillId="0" borderId="0" xfId="0" applyAlignment="1">
      <alignment horizontal="center"/>
    </xf>
    <xf numFmtId="49" fontId="1" fillId="3" borderId="1" xfId="0" applyNumberFormat="1" applyFont="1" applyFill="1" applyBorder="1" applyAlignment="1">
      <alignment vertical="top"/>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1" fillId="3" borderId="4" xfId="0" applyFont="1" applyFill="1" applyBorder="1" applyAlignment="1">
      <alignment vertical="top" wrapText="1"/>
    </xf>
    <xf numFmtId="49" fontId="0" fillId="0" borderId="1" xfId="0" applyNumberFormat="1" applyBorder="1" applyAlignment="1">
      <alignment vertical="top"/>
    </xf>
    <xf numFmtId="0" fontId="0" fillId="0" borderId="1" xfId="0" applyBorder="1" applyAlignment="1">
      <alignment vertical="top" wrapText="1"/>
    </xf>
    <xf numFmtId="0" fontId="0" fillId="0" borderId="1" xfId="0" applyBorder="1"/>
    <xf numFmtId="164" fontId="0" fillId="0" borderId="1" xfId="0" applyNumberFormat="1" applyBorder="1" applyAlignment="1">
      <alignment horizontal="right" vertical="top"/>
    </xf>
    <xf numFmtId="4" fontId="0" fillId="0" borderId="1" xfId="0" applyNumberFormat="1" applyBorder="1" applyAlignment="1">
      <alignment horizontal="right" vertical="top"/>
    </xf>
    <xf numFmtId="0" fontId="0" fillId="0" borderId="1" xfId="0" applyBorder="1" applyAlignment="1">
      <alignment vertical="top"/>
    </xf>
    <xf numFmtId="4" fontId="0" fillId="0" borderId="1" xfId="0" applyNumberFormat="1" applyBorder="1" applyAlignment="1" applyProtection="1">
      <alignment horizontal="right" vertical="top"/>
      <protection locked="0"/>
    </xf>
    <xf numFmtId="0" fontId="0" fillId="0" borderId="1" xfId="0" applyBorder="1" applyAlignment="1">
      <alignment horizontal="center" vertical="top"/>
    </xf>
    <xf numFmtId="4" fontId="1" fillId="3" borderId="1" xfId="0" applyNumberFormat="1" applyFont="1" applyFill="1" applyBorder="1" applyAlignment="1">
      <alignment horizontal="right" vertical="top"/>
    </xf>
    <xf numFmtId="0" fontId="1" fillId="3" borderId="1" xfId="0" applyFont="1" applyFill="1" applyBorder="1" applyAlignment="1">
      <alignment horizontal="center" vertical="top"/>
    </xf>
    <xf numFmtId="0" fontId="1" fillId="3" borderId="5" xfId="0" applyFont="1" applyFill="1" applyBorder="1" applyAlignment="1">
      <alignment vertical="top" wrapText="1"/>
    </xf>
    <xf numFmtId="0" fontId="1" fillId="3" borderId="6" xfId="0" applyFont="1" applyFill="1" applyBorder="1" applyAlignment="1">
      <alignment vertical="top" wrapText="1"/>
    </xf>
    <xf numFmtId="2" fontId="0" fillId="0" borderId="1" xfId="0" applyNumberFormat="1" applyBorder="1"/>
    <xf numFmtId="2" fontId="0" fillId="0" borderId="0" xfId="0" applyNumberFormat="1"/>
    <xf numFmtId="0" fontId="1" fillId="0" borderId="1" xfId="0" applyFont="1" applyBorder="1"/>
    <xf numFmtId="2" fontId="1" fillId="0" borderId="1" xfId="0" applyNumberFormat="1" applyFont="1" applyBorder="1"/>
    <xf numFmtId="2" fontId="1" fillId="0" borderId="0" xfId="0" applyNumberFormat="1" applyFont="1"/>
    <xf numFmtId="0" fontId="1" fillId="0" borderId="0" xfId="0" applyFont="1"/>
    <xf numFmtId="164" fontId="0" fillId="4" borderId="1" xfId="0" applyNumberFormat="1" applyFill="1" applyBorder="1" applyAlignment="1">
      <alignment horizontal="right" vertical="top"/>
    </xf>
    <xf numFmtId="4" fontId="0" fillId="4" borderId="1" xfId="0" applyNumberFormat="1" applyFill="1" applyBorder="1" applyAlignment="1">
      <alignment horizontal="right" vertical="top"/>
    </xf>
    <xf numFmtId="4" fontId="0" fillId="5" borderId="1" xfId="0" applyNumberFormat="1" applyFill="1" applyBorder="1" applyAlignment="1" applyProtection="1">
      <alignment horizontal="right" vertical="top"/>
      <protection locked="0"/>
    </xf>
    <xf numFmtId="4" fontId="0" fillId="5" borderId="1" xfId="0" applyNumberFormat="1" applyFill="1" applyBorder="1" applyAlignment="1">
      <alignment horizontal="right" vertical="top"/>
    </xf>
    <xf numFmtId="4" fontId="2" fillId="0" borderId="1" xfId="0" applyNumberFormat="1" applyFont="1" applyBorder="1" applyAlignment="1" applyProtection="1">
      <alignment horizontal="right" vertical="top"/>
      <protection locked="0"/>
    </xf>
    <xf numFmtId="0" fontId="2" fillId="4" borderId="1" xfId="0" applyFont="1" applyFill="1" applyBorder="1" applyAlignment="1">
      <alignment vertical="top" wrapText="1"/>
    </xf>
    <xf numFmtId="0" fontId="2" fillId="4" borderId="1" xfId="0" applyFont="1" applyFill="1" applyBorder="1" applyAlignment="1">
      <alignment vertical="top"/>
    </xf>
    <xf numFmtId="164" fontId="2" fillId="4" borderId="1" xfId="0" applyNumberFormat="1" applyFont="1" applyFill="1" applyBorder="1" applyAlignment="1">
      <alignment horizontal="right" vertical="top"/>
    </xf>
    <xf numFmtId="49" fontId="0" fillId="6" borderId="1" xfId="0" applyNumberFormat="1" applyFill="1" applyBorder="1" applyAlignment="1">
      <alignment vertical="top"/>
    </xf>
    <xf numFmtId="0" fontId="0" fillId="6" borderId="1" xfId="0" applyFill="1" applyBorder="1" applyAlignment="1">
      <alignment vertical="top" wrapText="1"/>
    </xf>
    <xf numFmtId="0" fontId="0" fillId="6" borderId="1" xfId="0" applyFill="1" applyBorder="1"/>
    <xf numFmtId="164" fontId="0" fillId="6" borderId="1" xfId="0" applyNumberFormat="1" applyFill="1" applyBorder="1" applyAlignment="1">
      <alignment horizontal="right" vertical="top"/>
    </xf>
    <xf numFmtId="4" fontId="0" fillId="6" borderId="1" xfId="0" applyNumberFormat="1" applyFill="1" applyBorder="1" applyAlignment="1" applyProtection="1">
      <alignment horizontal="right" vertical="top"/>
      <protection locked="0"/>
    </xf>
    <xf numFmtId="4" fontId="0" fillId="6" borderId="1" xfId="0" applyNumberFormat="1" applyFill="1" applyBorder="1" applyAlignment="1">
      <alignment horizontal="right" vertical="top"/>
    </xf>
    <xf numFmtId="0" fontId="0" fillId="6" borderId="1" xfId="0" applyFill="1" applyBorder="1" applyAlignment="1">
      <alignment vertical="top"/>
    </xf>
    <xf numFmtId="0" fontId="0" fillId="6" borderId="1" xfId="0" applyFill="1" applyBorder="1" applyAlignment="1">
      <alignment horizontal="center" vertical="top"/>
    </xf>
    <xf numFmtId="4" fontId="3" fillId="6" borderId="1" xfId="0" applyNumberFormat="1" applyFont="1" applyFill="1" applyBorder="1" applyAlignment="1">
      <alignment horizontal="right" vertical="top"/>
    </xf>
    <xf numFmtId="49" fontId="0" fillId="4" borderId="1" xfId="0" applyNumberFormat="1" applyFill="1" applyBorder="1" applyAlignment="1">
      <alignment vertical="top"/>
    </xf>
    <xf numFmtId="4" fontId="0" fillId="0" borderId="1" xfId="0" applyNumberFormat="1" applyBorder="1"/>
    <xf numFmtId="4" fontId="1" fillId="0" borderId="1" xfId="0" applyNumberFormat="1" applyFont="1" applyBorder="1"/>
    <xf numFmtId="4" fontId="3" fillId="0" borderId="1" xfId="0" applyNumberFormat="1" applyFont="1" applyBorder="1"/>
    <xf numFmtId="4" fontId="0" fillId="0" borderId="0" xfId="0" applyNumberFormat="1"/>
    <xf numFmtId="0" fontId="0" fillId="4" borderId="1" xfId="0" applyFill="1" applyBorder="1" applyAlignment="1">
      <alignment vertical="top" wrapText="1"/>
    </xf>
    <xf numFmtId="49" fontId="1" fillId="0" borderId="2"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4" xfId="0" applyNumberFormat="1" applyFont="1" applyBorder="1" applyAlignment="1">
      <alignment horizontal="center" vertical="top"/>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21B2-C115-4B70-938A-A5DE790A7F5B}">
  <dimension ref="A1:I284"/>
  <sheetViews>
    <sheetView tabSelected="1" topLeftCell="A84" zoomScale="70" zoomScaleNormal="70" workbookViewId="0">
      <selection activeCell="M271" sqref="M271"/>
    </sheetView>
  </sheetViews>
  <sheetFormatPr baseColWidth="10" defaultRowHeight="15.75" x14ac:dyDescent="0.25"/>
  <cols>
    <col min="1" max="1" width="6.875" customWidth="1"/>
    <col min="2" max="2" width="46.375" customWidth="1"/>
    <col min="3" max="3" width="6.625" customWidth="1"/>
    <col min="4" max="4" width="17" customWidth="1"/>
    <col min="5" max="5" width="18.75" customWidth="1"/>
    <col min="6" max="6" width="14.125" customWidth="1"/>
    <col min="7" max="7" width="14.25" customWidth="1"/>
  </cols>
  <sheetData>
    <row r="1" spans="1:7" s="4" customFormat="1" x14ac:dyDescent="0.25">
      <c r="A1" s="1" t="s">
        <v>0</v>
      </c>
      <c r="B1" s="2" t="s">
        <v>1</v>
      </c>
      <c r="C1" s="3" t="s">
        <v>2</v>
      </c>
      <c r="D1" s="3" t="s">
        <v>3</v>
      </c>
      <c r="E1" s="3" t="s">
        <v>4</v>
      </c>
      <c r="F1" s="3" t="s">
        <v>5</v>
      </c>
      <c r="G1" s="3" t="s">
        <v>6</v>
      </c>
    </row>
    <row r="2" spans="1:7" ht="30" customHeight="1" x14ac:dyDescent="0.25">
      <c r="A2" s="5" t="s">
        <v>7</v>
      </c>
      <c r="B2" s="6" t="s">
        <v>8</v>
      </c>
      <c r="C2" s="7"/>
      <c r="D2" s="7"/>
      <c r="E2" s="7"/>
      <c r="F2" s="7"/>
      <c r="G2" s="8"/>
    </row>
    <row r="3" spans="1:7" x14ac:dyDescent="0.25">
      <c r="A3" s="9" t="s">
        <v>9</v>
      </c>
      <c r="B3" s="10" t="s">
        <v>10</v>
      </c>
      <c r="C3" s="11"/>
      <c r="D3" s="12"/>
      <c r="E3" s="13"/>
      <c r="F3" s="13"/>
      <c r="G3" s="11"/>
    </row>
    <row r="4" spans="1:7" ht="47.25" x14ac:dyDescent="0.25">
      <c r="A4" s="9" t="s">
        <v>11</v>
      </c>
      <c r="B4" s="10" t="s">
        <v>12</v>
      </c>
      <c r="C4" s="14" t="s">
        <v>13</v>
      </c>
      <c r="D4" s="12">
        <v>1</v>
      </c>
      <c r="E4" s="15">
        <v>19000</v>
      </c>
      <c r="F4" s="13">
        <f>5*ROUND(D4*E4/5,2)</f>
        <v>19000</v>
      </c>
      <c r="G4" s="16" t="s">
        <v>14</v>
      </c>
    </row>
    <row r="5" spans="1:7" ht="47.25" x14ac:dyDescent="0.25">
      <c r="A5" s="9" t="s">
        <v>507</v>
      </c>
      <c r="B5" s="10" t="s">
        <v>15</v>
      </c>
      <c r="C5" s="14" t="s">
        <v>13</v>
      </c>
      <c r="D5" s="27">
        <v>2</v>
      </c>
      <c r="E5" s="15">
        <v>3200</v>
      </c>
      <c r="F5" s="13">
        <f>5*ROUND(D5*E5/5,2)</f>
        <v>6400</v>
      </c>
      <c r="G5" s="16" t="s">
        <v>14</v>
      </c>
    </row>
    <row r="6" spans="1:7" x14ac:dyDescent="0.25">
      <c r="A6" s="9" t="s">
        <v>16</v>
      </c>
      <c r="B6" s="10" t="s">
        <v>17</v>
      </c>
      <c r="C6" s="11"/>
      <c r="D6" s="12"/>
      <c r="E6" s="15"/>
      <c r="F6" s="13"/>
      <c r="G6" s="11"/>
    </row>
    <row r="7" spans="1:7" ht="47.25" x14ac:dyDescent="0.25">
      <c r="A7" s="9" t="s">
        <v>18</v>
      </c>
      <c r="B7" s="10" t="s">
        <v>19</v>
      </c>
      <c r="C7" s="14" t="s">
        <v>20</v>
      </c>
      <c r="D7" s="27">
        <v>2</v>
      </c>
      <c r="E7" s="15">
        <v>920</v>
      </c>
      <c r="F7" s="13">
        <f>5*ROUND(D7*E7/5,2)</f>
        <v>1840</v>
      </c>
      <c r="G7" s="16" t="s">
        <v>14</v>
      </c>
    </row>
    <row r="8" spans="1:7" ht="47.25" x14ac:dyDescent="0.25">
      <c r="A8" s="9" t="s">
        <v>21</v>
      </c>
      <c r="B8" s="10" t="s">
        <v>22</v>
      </c>
      <c r="C8" s="14" t="s">
        <v>13</v>
      </c>
      <c r="D8" s="12">
        <v>1</v>
      </c>
      <c r="E8" s="15">
        <v>600</v>
      </c>
      <c r="F8" s="13">
        <f>5*ROUND(D8*E8/5,2)</f>
        <v>600</v>
      </c>
      <c r="G8" s="16" t="s">
        <v>14</v>
      </c>
    </row>
    <row r="9" spans="1:7" ht="47.25" x14ac:dyDescent="0.25">
      <c r="A9" s="9" t="s">
        <v>23</v>
      </c>
      <c r="B9" s="10" t="s">
        <v>24</v>
      </c>
      <c r="C9" s="11"/>
      <c r="D9" s="12"/>
      <c r="E9" s="15"/>
      <c r="F9" s="13"/>
      <c r="G9" s="11"/>
    </row>
    <row r="10" spans="1:7" ht="47.25" x14ac:dyDescent="0.25">
      <c r="A10" s="9" t="s">
        <v>25</v>
      </c>
      <c r="B10" s="10" t="s">
        <v>26</v>
      </c>
      <c r="C10" s="14" t="s">
        <v>27</v>
      </c>
      <c r="D10" s="12" t="s">
        <v>28</v>
      </c>
      <c r="E10" s="15">
        <v>13</v>
      </c>
      <c r="F10" s="13"/>
      <c r="G10" s="16" t="s">
        <v>29</v>
      </c>
    </row>
    <row r="11" spans="1:7" ht="31.5" x14ac:dyDescent="0.25">
      <c r="A11" s="9" t="s">
        <v>30</v>
      </c>
      <c r="B11" s="10" t="s">
        <v>31</v>
      </c>
      <c r="C11" s="14" t="s">
        <v>27</v>
      </c>
      <c r="D11" s="12">
        <v>200</v>
      </c>
      <c r="E11" s="15">
        <v>9</v>
      </c>
      <c r="F11" s="13"/>
      <c r="G11" s="16" t="s">
        <v>29</v>
      </c>
    </row>
    <row r="12" spans="1:7" ht="47.25" x14ac:dyDescent="0.25">
      <c r="A12" s="9" t="s">
        <v>32</v>
      </c>
      <c r="B12" s="10" t="s">
        <v>33</v>
      </c>
      <c r="C12" s="14" t="s">
        <v>27</v>
      </c>
      <c r="D12" s="12">
        <v>900</v>
      </c>
      <c r="E12" s="15">
        <v>13</v>
      </c>
      <c r="F12" s="13">
        <f>5*ROUND(D12*E12/5,2)</f>
        <v>11700</v>
      </c>
      <c r="G12" s="16" t="s">
        <v>14</v>
      </c>
    </row>
    <row r="13" spans="1:7" ht="47.25" x14ac:dyDescent="0.25">
      <c r="A13" s="9" t="s">
        <v>34</v>
      </c>
      <c r="B13" s="10" t="s">
        <v>35</v>
      </c>
      <c r="C13" s="14" t="s">
        <v>27</v>
      </c>
      <c r="D13" s="12">
        <v>900</v>
      </c>
      <c r="E13" s="15">
        <v>6</v>
      </c>
      <c r="F13" s="13">
        <f>5*ROUND(D13*E13/5,2)</f>
        <v>5400</v>
      </c>
      <c r="G13" s="16" t="s">
        <v>14</v>
      </c>
    </row>
    <row r="14" spans="1:7" ht="31.5" x14ac:dyDescent="0.25">
      <c r="A14" s="9" t="s">
        <v>36</v>
      </c>
      <c r="B14" s="10" t="s">
        <v>37</v>
      </c>
      <c r="C14" s="14" t="s">
        <v>27</v>
      </c>
      <c r="D14" s="12"/>
      <c r="E14" s="15">
        <v>27</v>
      </c>
      <c r="F14" s="13"/>
      <c r="G14" s="16" t="s">
        <v>14</v>
      </c>
    </row>
    <row r="15" spans="1:7" ht="31.5" x14ac:dyDescent="0.25">
      <c r="A15" s="9" t="s">
        <v>38</v>
      </c>
      <c r="B15" s="10" t="s">
        <v>39</v>
      </c>
      <c r="C15" s="14" t="s">
        <v>40</v>
      </c>
      <c r="D15" s="12"/>
      <c r="E15" s="15">
        <v>14</v>
      </c>
      <c r="F15" s="13"/>
      <c r="G15" s="16" t="s">
        <v>14</v>
      </c>
    </row>
    <row r="16" spans="1:7" x14ac:dyDescent="0.25">
      <c r="A16" s="9" t="s">
        <v>41</v>
      </c>
      <c r="B16" s="10" t="s">
        <v>42</v>
      </c>
      <c r="C16" s="11"/>
      <c r="D16" s="12"/>
      <c r="E16" s="15"/>
      <c r="F16" s="13"/>
      <c r="G16" s="11"/>
    </row>
    <row r="17" spans="1:7" ht="47.25" x14ac:dyDescent="0.25">
      <c r="A17" s="9" t="s">
        <v>25</v>
      </c>
      <c r="B17" s="10" t="s">
        <v>43</v>
      </c>
      <c r="C17" s="14" t="s">
        <v>44</v>
      </c>
      <c r="D17" s="12">
        <v>935</v>
      </c>
      <c r="E17" s="15">
        <v>4</v>
      </c>
      <c r="F17" s="13">
        <f>5*ROUND(D17*E17/5,2)</f>
        <v>3740</v>
      </c>
      <c r="G17" s="16" t="s">
        <v>14</v>
      </c>
    </row>
    <row r="18" spans="1:7" ht="31.5" x14ac:dyDescent="0.25">
      <c r="A18" s="9" t="s">
        <v>25</v>
      </c>
      <c r="B18" s="10" t="s">
        <v>45</v>
      </c>
      <c r="C18" s="14" t="s">
        <v>44</v>
      </c>
      <c r="D18" s="12">
        <v>394</v>
      </c>
      <c r="E18" s="15">
        <v>6</v>
      </c>
      <c r="F18" s="13">
        <f>5*ROUND(D18*E18/5,2)</f>
        <v>2364</v>
      </c>
      <c r="G18" s="16" t="s">
        <v>14</v>
      </c>
    </row>
    <row r="19" spans="1:7" x14ac:dyDescent="0.25">
      <c r="A19" s="9" t="s">
        <v>46</v>
      </c>
      <c r="B19" s="10" t="s">
        <v>47</v>
      </c>
      <c r="C19" s="11"/>
      <c r="D19" s="12"/>
      <c r="E19" s="15"/>
      <c r="F19" s="13"/>
      <c r="G19" s="11"/>
    </row>
    <row r="20" spans="1:7" ht="47.25" x14ac:dyDescent="0.25">
      <c r="A20" s="9" t="s">
        <v>48</v>
      </c>
      <c r="B20" s="10" t="s">
        <v>49</v>
      </c>
      <c r="C20" s="14" t="s">
        <v>44</v>
      </c>
      <c r="D20" s="12">
        <v>250</v>
      </c>
      <c r="E20" s="15">
        <v>8.8000000000000007</v>
      </c>
      <c r="F20" s="13">
        <f>5*ROUND(D20*E20/5,2)</f>
        <v>2200</v>
      </c>
      <c r="G20" s="16" t="s">
        <v>14</v>
      </c>
    </row>
    <row r="21" spans="1:7" ht="31.5" x14ac:dyDescent="0.25">
      <c r="A21" s="9" t="s">
        <v>50</v>
      </c>
      <c r="B21" s="10" t="s">
        <v>51</v>
      </c>
      <c r="C21" s="14" t="s">
        <v>44</v>
      </c>
      <c r="D21" s="12">
        <v>2663</v>
      </c>
      <c r="E21" s="15">
        <v>1.47</v>
      </c>
      <c r="F21" s="13">
        <f>5*ROUND(D21*E21/5,2)</f>
        <v>3914.6</v>
      </c>
      <c r="G21" s="16" t="s">
        <v>14</v>
      </c>
    </row>
    <row r="22" spans="1:7" ht="31.5" x14ac:dyDescent="0.25">
      <c r="A22" s="9" t="s">
        <v>52</v>
      </c>
      <c r="B22" s="10" t="s">
        <v>53</v>
      </c>
      <c r="C22" s="14" t="s">
        <v>44</v>
      </c>
      <c r="D22" s="12">
        <v>2663</v>
      </c>
      <c r="E22" s="15">
        <v>2.0499999999999998</v>
      </c>
      <c r="F22" s="13">
        <f>5*ROUND(D22*E22/5,2)</f>
        <v>5459.15</v>
      </c>
      <c r="G22" s="16" t="s">
        <v>14</v>
      </c>
    </row>
    <row r="23" spans="1:7" ht="31.5" x14ac:dyDescent="0.25">
      <c r="A23" s="9" t="s">
        <v>54</v>
      </c>
      <c r="B23" s="10" t="s">
        <v>55</v>
      </c>
      <c r="C23" s="14" t="s">
        <v>44</v>
      </c>
      <c r="D23" s="12">
        <v>2663</v>
      </c>
      <c r="E23" s="15">
        <v>1.35</v>
      </c>
      <c r="F23" s="13">
        <f>5*ROUND(D23*E23/5,2)</f>
        <v>3595.05</v>
      </c>
      <c r="G23" s="16" t="s">
        <v>14</v>
      </c>
    </row>
    <row r="24" spans="1:7" x14ac:dyDescent="0.25">
      <c r="A24" s="9" t="s">
        <v>56</v>
      </c>
      <c r="B24" s="10" t="s">
        <v>57</v>
      </c>
      <c r="C24" s="11"/>
      <c r="D24" s="12"/>
      <c r="E24" s="15"/>
      <c r="F24" s="13"/>
      <c r="G24" s="11"/>
    </row>
    <row r="25" spans="1:7" x14ac:dyDescent="0.25">
      <c r="A25" s="9" t="s">
        <v>58</v>
      </c>
      <c r="B25" s="10" t="s">
        <v>59</v>
      </c>
      <c r="C25" s="14" t="s">
        <v>60</v>
      </c>
      <c r="D25" s="12">
        <v>10</v>
      </c>
      <c r="E25" s="15">
        <v>88</v>
      </c>
      <c r="F25" s="13">
        <f t="shared" ref="F25:F31" si="0">5*ROUND(D25*E25/5,2)</f>
        <v>880</v>
      </c>
      <c r="G25" s="16" t="s">
        <v>14</v>
      </c>
    </row>
    <row r="26" spans="1:7" x14ac:dyDescent="0.25">
      <c r="A26" s="9" t="s">
        <v>61</v>
      </c>
      <c r="B26" s="10" t="s">
        <v>62</v>
      </c>
      <c r="C26" s="14" t="s">
        <v>60</v>
      </c>
      <c r="D26" s="12">
        <v>18</v>
      </c>
      <c r="E26" s="15">
        <v>82</v>
      </c>
      <c r="F26" s="13">
        <f t="shared" si="0"/>
        <v>1476</v>
      </c>
      <c r="G26" s="16" t="s">
        <v>14</v>
      </c>
    </row>
    <row r="27" spans="1:7" x14ac:dyDescent="0.25">
      <c r="A27" s="9" t="s">
        <v>63</v>
      </c>
      <c r="B27" s="10" t="s">
        <v>64</v>
      </c>
      <c r="C27" s="14" t="s">
        <v>60</v>
      </c>
      <c r="D27" s="12">
        <v>18</v>
      </c>
      <c r="E27" s="15">
        <v>78</v>
      </c>
      <c r="F27" s="13">
        <f t="shared" si="0"/>
        <v>1404</v>
      </c>
      <c r="G27" s="16" t="s">
        <v>14</v>
      </c>
    </row>
    <row r="28" spans="1:7" x14ac:dyDescent="0.25">
      <c r="A28" s="9" t="s">
        <v>65</v>
      </c>
      <c r="B28" s="10" t="s">
        <v>66</v>
      </c>
      <c r="C28" s="14" t="s">
        <v>60</v>
      </c>
      <c r="D28" s="12">
        <v>8</v>
      </c>
      <c r="E28" s="15">
        <v>178</v>
      </c>
      <c r="F28" s="13">
        <f t="shared" si="0"/>
        <v>1424</v>
      </c>
      <c r="G28" s="16" t="s">
        <v>14</v>
      </c>
    </row>
    <row r="29" spans="1:7" x14ac:dyDescent="0.25">
      <c r="A29" s="9" t="s">
        <v>67</v>
      </c>
      <c r="B29" s="10" t="s">
        <v>68</v>
      </c>
      <c r="C29" s="14" t="s">
        <v>60</v>
      </c>
      <c r="D29" s="12">
        <v>8</v>
      </c>
      <c r="E29" s="15">
        <v>137</v>
      </c>
      <c r="F29" s="13">
        <f t="shared" si="0"/>
        <v>1096</v>
      </c>
      <c r="G29" s="16" t="s">
        <v>14</v>
      </c>
    </row>
    <row r="30" spans="1:7" x14ac:dyDescent="0.25">
      <c r="A30" s="9" t="s">
        <v>69</v>
      </c>
      <c r="B30" s="10" t="s">
        <v>70</v>
      </c>
      <c r="C30" s="14" t="s">
        <v>60</v>
      </c>
      <c r="D30" s="12">
        <v>6</v>
      </c>
      <c r="E30" s="15">
        <v>198</v>
      </c>
      <c r="F30" s="13">
        <f t="shared" si="0"/>
        <v>1188</v>
      </c>
      <c r="G30" s="16" t="s">
        <v>14</v>
      </c>
    </row>
    <row r="31" spans="1:7" x14ac:dyDescent="0.25">
      <c r="A31" s="9" t="s">
        <v>71</v>
      </c>
      <c r="B31" s="10" t="s">
        <v>72</v>
      </c>
      <c r="C31" s="14" t="s">
        <v>60</v>
      </c>
      <c r="D31" s="12">
        <v>5</v>
      </c>
      <c r="E31" s="15">
        <v>238</v>
      </c>
      <c r="F31" s="13">
        <f t="shared" si="0"/>
        <v>1190</v>
      </c>
      <c r="G31" s="16" t="s">
        <v>14</v>
      </c>
    </row>
    <row r="32" spans="1:7" ht="30" customHeight="1" x14ac:dyDescent="0.25">
      <c r="A32" s="5" t="s">
        <v>73</v>
      </c>
      <c r="B32" s="6" t="s">
        <v>74</v>
      </c>
      <c r="C32" s="7"/>
      <c r="D32" s="7"/>
      <c r="E32" s="8"/>
      <c r="F32" s="17">
        <f>SUM(F3:F31)</f>
        <v>74870.8</v>
      </c>
      <c r="G32" s="18"/>
    </row>
    <row r="33" spans="1:7" x14ac:dyDescent="0.25">
      <c r="A33" s="50"/>
      <c r="B33" s="51"/>
      <c r="C33" s="51"/>
      <c r="D33" s="51"/>
      <c r="E33" s="51"/>
      <c r="F33" s="51"/>
      <c r="G33" s="52"/>
    </row>
    <row r="34" spans="1:7" x14ac:dyDescent="0.25">
      <c r="A34" s="5" t="s">
        <v>75</v>
      </c>
      <c r="B34" s="53" t="s">
        <v>76</v>
      </c>
      <c r="C34" s="54"/>
      <c r="D34" s="54"/>
      <c r="E34" s="54"/>
      <c r="F34" s="54"/>
      <c r="G34" s="55"/>
    </row>
    <row r="35" spans="1:7" ht="78.75" x14ac:dyDescent="0.25">
      <c r="A35" s="9" t="s">
        <v>77</v>
      </c>
      <c r="B35" s="10" t="s">
        <v>78</v>
      </c>
      <c r="C35" s="14" t="s">
        <v>79</v>
      </c>
      <c r="D35" s="12">
        <v>8</v>
      </c>
      <c r="E35" s="15">
        <v>300</v>
      </c>
      <c r="F35" s="13">
        <f>5*ROUND(D35*E35/5,2)</f>
        <v>2400</v>
      </c>
      <c r="G35" s="16" t="s">
        <v>14</v>
      </c>
    </row>
    <row r="36" spans="1:7" x14ac:dyDescent="0.25">
      <c r="A36" s="9" t="s">
        <v>80</v>
      </c>
      <c r="B36" s="10" t="s">
        <v>81</v>
      </c>
      <c r="C36" s="11"/>
      <c r="D36" s="12"/>
      <c r="E36" s="15"/>
      <c r="F36" s="13"/>
      <c r="G36" s="11"/>
    </row>
    <row r="37" spans="1:7" ht="63" x14ac:dyDescent="0.25">
      <c r="A37" s="9" t="s">
        <v>82</v>
      </c>
      <c r="B37" s="10" t="s">
        <v>83</v>
      </c>
      <c r="C37" s="14" t="s">
        <v>44</v>
      </c>
      <c r="D37" s="12">
        <v>4081</v>
      </c>
      <c r="E37" s="15">
        <v>0.8</v>
      </c>
      <c r="F37" s="13">
        <f>5*ROUND(D37*E37/5,2)</f>
        <v>3264.8</v>
      </c>
      <c r="G37" s="16" t="s">
        <v>14</v>
      </c>
    </row>
    <row r="38" spans="1:7" ht="78.75" x14ac:dyDescent="0.25">
      <c r="A38" s="9" t="s">
        <v>84</v>
      </c>
      <c r="B38" s="10" t="s">
        <v>85</v>
      </c>
      <c r="C38" s="14" t="s">
        <v>44</v>
      </c>
      <c r="D38" s="12">
        <v>9914</v>
      </c>
      <c r="E38" s="15">
        <v>0.8</v>
      </c>
      <c r="F38" s="13">
        <f>5*ROUND(D38*E38/5,2)</f>
        <v>7931.2</v>
      </c>
      <c r="G38" s="16" t="s">
        <v>14</v>
      </c>
    </row>
    <row r="39" spans="1:7" x14ac:dyDescent="0.25">
      <c r="A39" s="9" t="s">
        <v>86</v>
      </c>
      <c r="B39" s="10" t="s">
        <v>87</v>
      </c>
      <c r="C39" s="11"/>
      <c r="D39" s="12"/>
      <c r="E39" s="15"/>
      <c r="F39" s="13"/>
      <c r="G39" s="11"/>
    </row>
    <row r="40" spans="1:7" ht="78.75" x14ac:dyDescent="0.25">
      <c r="A40" s="9" t="s">
        <v>88</v>
      </c>
      <c r="B40" s="10" t="s">
        <v>89</v>
      </c>
      <c r="C40" s="14" t="s">
        <v>90</v>
      </c>
      <c r="D40" s="12">
        <v>1191</v>
      </c>
      <c r="E40" s="15">
        <v>7.65</v>
      </c>
      <c r="F40" s="13">
        <f>5*ROUND(D40*E40/5,2)</f>
        <v>9111.15</v>
      </c>
      <c r="G40" s="16" t="s">
        <v>14</v>
      </c>
    </row>
    <row r="41" spans="1:7" ht="78.75" x14ac:dyDescent="0.25">
      <c r="A41" s="9" t="s">
        <v>91</v>
      </c>
      <c r="B41" s="10" t="s">
        <v>92</v>
      </c>
      <c r="C41" s="14" t="s">
        <v>90</v>
      </c>
      <c r="D41" s="12">
        <v>102</v>
      </c>
      <c r="E41" s="15">
        <v>7.65</v>
      </c>
      <c r="F41" s="13">
        <f>5*ROUND(D41*E41/5,2)</f>
        <v>780.3</v>
      </c>
      <c r="G41" s="16" t="s">
        <v>14</v>
      </c>
    </row>
    <row r="42" spans="1:7" ht="47.25" x14ac:dyDescent="0.25">
      <c r="A42" s="9" t="s">
        <v>91</v>
      </c>
      <c r="B42" s="10" t="s">
        <v>93</v>
      </c>
      <c r="C42" s="14" t="s">
        <v>90</v>
      </c>
      <c r="D42" s="12">
        <v>80</v>
      </c>
      <c r="E42" s="15">
        <v>7.65</v>
      </c>
      <c r="F42" s="13">
        <f>5*ROUND(D42*E42/5,2)</f>
        <v>612</v>
      </c>
      <c r="G42" s="16" t="s">
        <v>14</v>
      </c>
    </row>
    <row r="43" spans="1:7" ht="47.25" x14ac:dyDescent="0.25">
      <c r="A43" s="9" t="s">
        <v>94</v>
      </c>
      <c r="B43" s="10" t="s">
        <v>95</v>
      </c>
      <c r="C43" s="14" t="s">
        <v>40</v>
      </c>
      <c r="D43" s="12">
        <v>38</v>
      </c>
      <c r="E43" s="15">
        <v>40</v>
      </c>
      <c r="F43" s="13">
        <f>5*ROUND(D43*E43/5,2)</f>
        <v>1520</v>
      </c>
      <c r="G43" s="16" t="s">
        <v>14</v>
      </c>
    </row>
    <row r="44" spans="1:7" ht="47.25" x14ac:dyDescent="0.25">
      <c r="A44" s="9" t="s">
        <v>94</v>
      </c>
      <c r="B44" s="10" t="s">
        <v>96</v>
      </c>
      <c r="C44" s="14" t="s">
        <v>40</v>
      </c>
      <c r="D44" s="12">
        <v>2</v>
      </c>
      <c r="E44" s="15">
        <v>80</v>
      </c>
      <c r="F44" s="13">
        <f>5*ROUND(D44*E44/5,2)</f>
        <v>160</v>
      </c>
      <c r="G44" s="16" t="s">
        <v>14</v>
      </c>
    </row>
    <row r="45" spans="1:7" ht="47.25" x14ac:dyDescent="0.25">
      <c r="A45" s="9" t="s">
        <v>94</v>
      </c>
      <c r="B45" s="10" t="s">
        <v>97</v>
      </c>
      <c r="C45" s="14" t="s">
        <v>40</v>
      </c>
      <c r="D45" s="12">
        <v>14</v>
      </c>
      <c r="E45" s="15">
        <v>160</v>
      </c>
      <c r="F45" s="13">
        <f t="shared" ref="F45:F46" si="1">5*ROUND(D45*E45/5,2)</f>
        <v>2240</v>
      </c>
      <c r="G45" s="16" t="s">
        <v>14</v>
      </c>
    </row>
    <row r="46" spans="1:7" ht="47.25" x14ac:dyDescent="0.25">
      <c r="A46" s="9" t="s">
        <v>94</v>
      </c>
      <c r="B46" s="10" t="s">
        <v>98</v>
      </c>
      <c r="C46" s="14" t="s">
        <v>40</v>
      </c>
      <c r="D46" s="12">
        <v>70</v>
      </c>
      <c r="E46" s="15">
        <v>40</v>
      </c>
      <c r="F46" s="13">
        <f t="shared" si="1"/>
        <v>2800</v>
      </c>
      <c r="G46" s="16" t="s">
        <v>14</v>
      </c>
    </row>
    <row r="47" spans="1:7" x14ac:dyDescent="0.25">
      <c r="A47" s="9" t="s">
        <v>99</v>
      </c>
      <c r="B47" s="10" t="s">
        <v>100</v>
      </c>
      <c r="C47" s="11"/>
      <c r="D47" s="12"/>
      <c r="E47" s="15"/>
      <c r="F47" s="13"/>
      <c r="G47" s="11"/>
    </row>
    <row r="48" spans="1:7" ht="47.25" x14ac:dyDescent="0.25">
      <c r="A48" s="9" t="s">
        <v>101</v>
      </c>
      <c r="B48" s="10" t="s">
        <v>102</v>
      </c>
      <c r="C48" s="14" t="s">
        <v>27</v>
      </c>
      <c r="D48" s="12">
        <v>677.58699999999999</v>
      </c>
      <c r="E48" s="15">
        <v>5.95</v>
      </c>
      <c r="F48" s="13">
        <f t="shared" ref="F48:F50" si="2">5*ROUND(D48*E48/5,2)</f>
        <v>4031.65</v>
      </c>
      <c r="G48" s="16" t="s">
        <v>14</v>
      </c>
    </row>
    <row r="49" spans="1:7" ht="47.25" x14ac:dyDescent="0.25">
      <c r="A49" s="9" t="s">
        <v>103</v>
      </c>
      <c r="B49" s="10" t="s">
        <v>104</v>
      </c>
      <c r="C49" s="14" t="s">
        <v>90</v>
      </c>
      <c r="D49" s="12">
        <v>336.23700000000002</v>
      </c>
      <c r="E49" s="15">
        <v>12.4</v>
      </c>
      <c r="F49" s="13">
        <f t="shared" si="2"/>
        <v>4169.3500000000004</v>
      </c>
      <c r="G49" s="16" t="s">
        <v>14</v>
      </c>
    </row>
    <row r="50" spans="1:7" ht="78.75" x14ac:dyDescent="0.25">
      <c r="A50" s="9" t="s">
        <v>105</v>
      </c>
      <c r="B50" s="10" t="s">
        <v>106</v>
      </c>
      <c r="C50" s="14" t="s">
        <v>90</v>
      </c>
      <c r="D50" s="12">
        <v>21</v>
      </c>
      <c r="E50" s="15">
        <v>80</v>
      </c>
      <c r="F50" s="13">
        <f t="shared" si="2"/>
        <v>1680</v>
      </c>
      <c r="G50" s="16" t="s">
        <v>14</v>
      </c>
    </row>
    <row r="51" spans="1:7" x14ac:dyDescent="0.25">
      <c r="A51" s="9" t="s">
        <v>107</v>
      </c>
      <c r="B51" s="10" t="s">
        <v>108</v>
      </c>
      <c r="C51" s="11"/>
      <c r="D51" s="12"/>
      <c r="E51" s="15"/>
      <c r="F51" s="13"/>
      <c r="G51" s="11"/>
    </row>
    <row r="52" spans="1:7" ht="31.5" x14ac:dyDescent="0.25">
      <c r="A52" s="9" t="s">
        <v>109</v>
      </c>
      <c r="B52" s="10" t="s">
        <v>110</v>
      </c>
      <c r="C52" s="14" t="s">
        <v>90</v>
      </c>
      <c r="D52" s="12">
        <v>233</v>
      </c>
      <c r="E52" s="15">
        <v>22.5</v>
      </c>
      <c r="F52" s="13">
        <f t="shared" ref="F52:F53" si="3">5*ROUND(D52*E52/5,2)</f>
        <v>5242.5</v>
      </c>
      <c r="G52" s="16" t="s">
        <v>14</v>
      </c>
    </row>
    <row r="53" spans="1:7" ht="31.5" x14ac:dyDescent="0.25">
      <c r="A53" s="9" t="s">
        <v>111</v>
      </c>
      <c r="B53" s="10" t="s">
        <v>112</v>
      </c>
      <c r="C53" s="14" t="s">
        <v>90</v>
      </c>
      <c r="D53" s="12">
        <v>3967</v>
      </c>
      <c r="E53" s="15">
        <v>3.75</v>
      </c>
      <c r="F53" s="13">
        <f t="shared" si="3"/>
        <v>14876.25</v>
      </c>
      <c r="G53" s="16" t="s">
        <v>14</v>
      </c>
    </row>
    <row r="54" spans="1:7" x14ac:dyDescent="0.25">
      <c r="A54" s="9" t="s">
        <v>113</v>
      </c>
      <c r="B54" s="10" t="s">
        <v>114</v>
      </c>
      <c r="C54" s="11"/>
      <c r="D54" s="12"/>
      <c r="E54" s="15"/>
      <c r="F54" s="13"/>
      <c r="G54" s="11"/>
    </row>
    <row r="55" spans="1:7" ht="31.5" x14ac:dyDescent="0.25">
      <c r="A55" s="9" t="s">
        <v>115</v>
      </c>
      <c r="B55" s="10" t="s">
        <v>116</v>
      </c>
      <c r="C55" s="14" t="s">
        <v>90</v>
      </c>
      <c r="D55" s="12">
        <v>1643</v>
      </c>
      <c r="E55" s="15">
        <v>5.0999999999999996</v>
      </c>
      <c r="F55" s="13">
        <f t="shared" ref="F55:F57" si="4">5*ROUND(D55*E55/5,2)</f>
        <v>8379.2999999999993</v>
      </c>
      <c r="G55" s="16" t="s">
        <v>14</v>
      </c>
    </row>
    <row r="56" spans="1:7" ht="31.5" x14ac:dyDescent="0.25">
      <c r="A56" s="9" t="s">
        <v>111</v>
      </c>
      <c r="B56" s="10" t="s">
        <v>117</v>
      </c>
      <c r="C56" s="14" t="s">
        <v>90</v>
      </c>
      <c r="D56" s="12">
        <v>1066</v>
      </c>
      <c r="E56" s="15">
        <v>5.0999999999999996</v>
      </c>
      <c r="F56" s="13">
        <f t="shared" si="4"/>
        <v>5436.5999999999995</v>
      </c>
      <c r="G56" s="16" t="s">
        <v>14</v>
      </c>
    </row>
    <row r="57" spans="1:7" ht="47.25" x14ac:dyDescent="0.25">
      <c r="A57" s="9" t="s">
        <v>111</v>
      </c>
      <c r="B57" s="10" t="s">
        <v>118</v>
      </c>
      <c r="C57" s="14" t="s">
        <v>119</v>
      </c>
      <c r="D57" s="12">
        <v>210</v>
      </c>
      <c r="E57" s="15">
        <v>60</v>
      </c>
      <c r="F57" s="13">
        <f t="shared" si="4"/>
        <v>12600</v>
      </c>
      <c r="G57" s="16" t="s">
        <v>14</v>
      </c>
    </row>
    <row r="58" spans="1:7" ht="47.25" x14ac:dyDescent="0.25">
      <c r="A58" s="9" t="s">
        <v>120</v>
      </c>
      <c r="B58" s="49" t="s">
        <v>506</v>
      </c>
      <c r="C58" s="14" t="s">
        <v>119</v>
      </c>
      <c r="D58" s="12" t="s">
        <v>28</v>
      </c>
      <c r="E58" s="15">
        <v>68</v>
      </c>
      <c r="F58" s="13"/>
      <c r="G58" s="16" t="s">
        <v>29</v>
      </c>
    </row>
    <row r="59" spans="1:7" x14ac:dyDescent="0.25">
      <c r="A59" s="9" t="s">
        <v>121</v>
      </c>
      <c r="B59" s="10" t="s">
        <v>122</v>
      </c>
      <c r="C59" s="14" t="s">
        <v>119</v>
      </c>
      <c r="D59" s="12">
        <v>76</v>
      </c>
      <c r="E59" s="15">
        <v>65</v>
      </c>
      <c r="F59" s="13">
        <f>5*ROUND(D59*E59/5,2)</f>
        <v>4940</v>
      </c>
      <c r="G59" s="16" t="s">
        <v>14</v>
      </c>
    </row>
    <row r="60" spans="1:7" x14ac:dyDescent="0.25">
      <c r="A60" s="9" t="s">
        <v>123</v>
      </c>
      <c r="B60" s="10" t="s">
        <v>124</v>
      </c>
      <c r="C60" s="14" t="s">
        <v>119</v>
      </c>
      <c r="D60" s="27">
        <v>679</v>
      </c>
      <c r="E60" s="29">
        <v>70</v>
      </c>
      <c r="F60" s="30">
        <f>5*ROUND(D60*E60/5,2)</f>
        <v>47530</v>
      </c>
      <c r="G60" s="16" t="s">
        <v>14</v>
      </c>
    </row>
    <row r="61" spans="1:7" x14ac:dyDescent="0.25">
      <c r="A61" s="5" t="s">
        <v>73</v>
      </c>
      <c r="B61" s="6" t="s">
        <v>125</v>
      </c>
      <c r="C61" s="7"/>
      <c r="D61" s="7"/>
      <c r="E61" s="8"/>
      <c r="F61" s="17">
        <f>SUM(F35:F60)</f>
        <v>139705.1</v>
      </c>
      <c r="G61" s="18"/>
    </row>
    <row r="62" spans="1:7" x14ac:dyDescent="0.25">
      <c r="A62" s="50"/>
      <c r="B62" s="51"/>
      <c r="C62" s="51"/>
      <c r="D62" s="51"/>
      <c r="E62" s="51"/>
      <c r="F62" s="51"/>
      <c r="G62" s="52"/>
    </row>
    <row r="63" spans="1:7" x14ac:dyDescent="0.25">
      <c r="A63" s="5" t="s">
        <v>126</v>
      </c>
      <c r="B63" s="6" t="s">
        <v>127</v>
      </c>
      <c r="C63" s="7"/>
      <c r="D63" s="7"/>
      <c r="E63" s="7"/>
      <c r="F63" s="7"/>
      <c r="G63" s="8"/>
    </row>
    <row r="64" spans="1:7" x14ac:dyDescent="0.25">
      <c r="A64" s="9" t="s">
        <v>128</v>
      </c>
      <c r="B64" s="10" t="s">
        <v>129</v>
      </c>
      <c r="C64" s="11"/>
      <c r="D64" s="12"/>
      <c r="E64" s="13"/>
      <c r="F64" s="13"/>
      <c r="G64" s="11"/>
    </row>
    <row r="65" spans="1:7" ht="31.5" x14ac:dyDescent="0.25">
      <c r="A65" s="9" t="s">
        <v>130</v>
      </c>
      <c r="B65" s="10" t="s">
        <v>131</v>
      </c>
      <c r="C65" s="14" t="s">
        <v>44</v>
      </c>
      <c r="D65" s="12">
        <v>614</v>
      </c>
      <c r="E65" s="15">
        <v>1.29</v>
      </c>
      <c r="F65" s="13">
        <f t="shared" ref="F65:F68" si="5">5*ROUND(D65*E65/5,2)</f>
        <v>792.05</v>
      </c>
      <c r="G65" s="16" t="s">
        <v>132</v>
      </c>
    </row>
    <row r="66" spans="1:7" ht="47.25" x14ac:dyDescent="0.25">
      <c r="A66" s="9" t="s">
        <v>133</v>
      </c>
      <c r="B66" s="10" t="s">
        <v>134</v>
      </c>
      <c r="C66" s="14" t="s">
        <v>44</v>
      </c>
      <c r="D66" s="12">
        <v>614</v>
      </c>
      <c r="E66" s="15">
        <v>11.1</v>
      </c>
      <c r="F66" s="13">
        <f t="shared" si="5"/>
        <v>6815.4</v>
      </c>
      <c r="G66" s="16" t="s">
        <v>132</v>
      </c>
    </row>
    <row r="67" spans="1:7" ht="31.5" x14ac:dyDescent="0.25">
      <c r="A67" s="9" t="s">
        <v>135</v>
      </c>
      <c r="B67" s="10" t="s">
        <v>136</v>
      </c>
      <c r="C67" s="14" t="s">
        <v>90</v>
      </c>
      <c r="D67" s="12">
        <v>143</v>
      </c>
      <c r="E67" s="15">
        <v>69.5</v>
      </c>
      <c r="F67" s="13">
        <f t="shared" si="5"/>
        <v>9938.5</v>
      </c>
      <c r="G67" s="16" t="s">
        <v>14</v>
      </c>
    </row>
    <row r="68" spans="1:7" ht="31.5" x14ac:dyDescent="0.25">
      <c r="A68" s="9" t="s">
        <v>137</v>
      </c>
      <c r="B68" s="10" t="s">
        <v>138</v>
      </c>
      <c r="C68" s="14" t="s">
        <v>44</v>
      </c>
      <c r="D68" s="12">
        <v>1054</v>
      </c>
      <c r="E68" s="15">
        <v>3.11</v>
      </c>
      <c r="F68" s="13">
        <f t="shared" si="5"/>
        <v>3277.9500000000003</v>
      </c>
      <c r="G68" s="16" t="s">
        <v>14</v>
      </c>
    </row>
    <row r="69" spans="1:7" x14ac:dyDescent="0.25">
      <c r="A69" s="9" t="s">
        <v>139</v>
      </c>
      <c r="B69" s="10" t="s">
        <v>140</v>
      </c>
      <c r="C69" s="11"/>
      <c r="D69" s="12"/>
      <c r="E69" s="15"/>
      <c r="F69" s="13"/>
      <c r="G69" s="11"/>
    </row>
    <row r="70" spans="1:7" ht="47.25" x14ac:dyDescent="0.25">
      <c r="A70" s="9" t="s">
        <v>141</v>
      </c>
      <c r="B70" s="10" t="s">
        <v>142</v>
      </c>
      <c r="C70" s="14" t="s">
        <v>27</v>
      </c>
      <c r="D70" s="12" t="s">
        <v>28</v>
      </c>
      <c r="E70" s="15">
        <v>264</v>
      </c>
      <c r="F70" s="13"/>
      <c r="G70" s="16" t="s">
        <v>29</v>
      </c>
    </row>
    <row r="71" spans="1:7" ht="47.25" x14ac:dyDescent="0.25">
      <c r="A71" s="9" t="s">
        <v>143</v>
      </c>
      <c r="B71" s="10" t="s">
        <v>144</v>
      </c>
      <c r="C71" s="14" t="s">
        <v>145</v>
      </c>
      <c r="D71" s="12" t="s">
        <v>28</v>
      </c>
      <c r="E71" s="15">
        <v>382</v>
      </c>
      <c r="F71" s="13"/>
      <c r="G71" s="16" t="s">
        <v>29</v>
      </c>
    </row>
    <row r="72" spans="1:7" ht="47.25" x14ac:dyDescent="0.25">
      <c r="A72" s="9" t="s">
        <v>146</v>
      </c>
      <c r="B72" s="10" t="s">
        <v>147</v>
      </c>
      <c r="C72" s="14" t="s">
        <v>145</v>
      </c>
      <c r="D72" s="12" t="s">
        <v>28</v>
      </c>
      <c r="E72" s="15">
        <v>415</v>
      </c>
      <c r="F72" s="13"/>
      <c r="G72" s="16" t="s">
        <v>29</v>
      </c>
    </row>
    <row r="73" spans="1:7" ht="31.5" x14ac:dyDescent="0.25">
      <c r="A73" s="9" t="s">
        <v>148</v>
      </c>
      <c r="B73" s="10" t="s">
        <v>149</v>
      </c>
      <c r="C73" s="14" t="s">
        <v>27</v>
      </c>
      <c r="D73" s="12" t="s">
        <v>28</v>
      </c>
      <c r="E73" s="15">
        <v>21.6</v>
      </c>
      <c r="F73" s="13"/>
      <c r="G73" s="16" t="s">
        <v>29</v>
      </c>
    </row>
    <row r="74" spans="1:7" ht="31.5" x14ac:dyDescent="0.25">
      <c r="A74" s="9" t="s">
        <v>150</v>
      </c>
      <c r="B74" s="10" t="s">
        <v>151</v>
      </c>
      <c r="C74" s="14" t="s">
        <v>145</v>
      </c>
      <c r="D74" s="12" t="s">
        <v>28</v>
      </c>
      <c r="E74" s="15">
        <v>29</v>
      </c>
      <c r="F74" s="13"/>
      <c r="G74" s="16" t="s">
        <v>29</v>
      </c>
    </row>
    <row r="75" spans="1:7" ht="47.25" x14ac:dyDescent="0.25">
      <c r="A75" s="9" t="s">
        <v>152</v>
      </c>
      <c r="B75" s="10" t="s">
        <v>153</v>
      </c>
      <c r="C75" s="14" t="s">
        <v>154</v>
      </c>
      <c r="D75" s="12" t="s">
        <v>28</v>
      </c>
      <c r="E75" s="15">
        <v>310</v>
      </c>
      <c r="F75" s="13"/>
      <c r="G75" s="16" t="s">
        <v>29</v>
      </c>
    </row>
    <row r="76" spans="1:7" x14ac:dyDescent="0.25">
      <c r="A76" s="9" t="s">
        <v>155</v>
      </c>
      <c r="B76" s="10" t="s">
        <v>156</v>
      </c>
      <c r="C76" s="11"/>
      <c r="D76" s="12"/>
      <c r="E76" s="15"/>
      <c r="F76" s="13"/>
      <c r="G76" s="11"/>
    </row>
    <row r="77" spans="1:7" ht="31.5" x14ac:dyDescent="0.25">
      <c r="A77" s="9" t="s">
        <v>157</v>
      </c>
      <c r="B77" s="10" t="s">
        <v>158</v>
      </c>
      <c r="C77" s="14" t="s">
        <v>27</v>
      </c>
      <c r="D77" s="12" t="s">
        <v>28</v>
      </c>
      <c r="E77" s="15">
        <v>52</v>
      </c>
      <c r="F77" s="13"/>
      <c r="G77" s="16" t="s">
        <v>29</v>
      </c>
    </row>
    <row r="78" spans="1:7" x14ac:dyDescent="0.25">
      <c r="A78" s="9" t="s">
        <v>159</v>
      </c>
      <c r="B78" s="10" t="s">
        <v>160</v>
      </c>
      <c r="C78" s="11"/>
      <c r="D78" s="12"/>
      <c r="E78" s="15"/>
      <c r="F78" s="13"/>
      <c r="G78" s="11"/>
    </row>
    <row r="79" spans="1:7" ht="31.5" x14ac:dyDescent="0.25">
      <c r="A79" s="9" t="s">
        <v>161</v>
      </c>
      <c r="B79" s="10" t="s">
        <v>162</v>
      </c>
      <c r="C79" s="14" t="s">
        <v>27</v>
      </c>
      <c r="D79" s="12">
        <v>881</v>
      </c>
      <c r="E79" s="15">
        <v>3.23</v>
      </c>
      <c r="F79" s="13">
        <f t="shared" ref="F79:F87" si="6">5*ROUND(D79*E79/5,2)</f>
        <v>2845.65</v>
      </c>
      <c r="G79" s="16" t="s">
        <v>14</v>
      </c>
    </row>
    <row r="80" spans="1:7" ht="31.5" x14ac:dyDescent="0.25">
      <c r="A80" s="9" t="s">
        <v>161</v>
      </c>
      <c r="B80" s="10" t="s">
        <v>163</v>
      </c>
      <c r="C80" s="14" t="s">
        <v>27</v>
      </c>
      <c r="D80" s="12">
        <v>1023</v>
      </c>
      <c r="E80" s="15">
        <v>11</v>
      </c>
      <c r="F80" s="13">
        <f t="shared" si="6"/>
        <v>11253</v>
      </c>
      <c r="G80" s="16" t="s">
        <v>14</v>
      </c>
    </row>
    <row r="81" spans="1:7" ht="31.5" x14ac:dyDescent="0.25">
      <c r="A81" s="9" t="s">
        <v>164</v>
      </c>
      <c r="B81" s="32" t="s">
        <v>165</v>
      </c>
      <c r="C81" s="33" t="s">
        <v>27</v>
      </c>
      <c r="D81" s="34">
        <v>1873</v>
      </c>
      <c r="E81" s="31">
        <v>9.6999999999999993</v>
      </c>
      <c r="F81" s="28">
        <v>0</v>
      </c>
      <c r="G81" s="16" t="s">
        <v>14</v>
      </c>
    </row>
    <row r="82" spans="1:7" ht="31.5" x14ac:dyDescent="0.25">
      <c r="A82" s="9" t="s">
        <v>166</v>
      </c>
      <c r="B82" s="10" t="s">
        <v>167</v>
      </c>
      <c r="C82" s="14" t="s">
        <v>27</v>
      </c>
      <c r="D82" s="12">
        <v>1873</v>
      </c>
      <c r="E82" s="15">
        <v>1.1000000000000001</v>
      </c>
      <c r="F82" s="13">
        <f t="shared" si="6"/>
        <v>2060.3000000000002</v>
      </c>
      <c r="G82" s="16" t="s">
        <v>14</v>
      </c>
    </row>
    <row r="83" spans="1:7" ht="47.25" x14ac:dyDescent="0.25">
      <c r="A83" s="9" t="s">
        <v>168</v>
      </c>
      <c r="B83" s="10" t="s">
        <v>169</v>
      </c>
      <c r="C83" s="14" t="s">
        <v>40</v>
      </c>
      <c r="D83" s="12">
        <v>10</v>
      </c>
      <c r="E83" s="15">
        <v>365</v>
      </c>
      <c r="F83" s="13">
        <f t="shared" si="6"/>
        <v>3650</v>
      </c>
      <c r="G83" s="16" t="s">
        <v>14</v>
      </c>
    </row>
    <row r="84" spans="1:7" ht="47.25" x14ac:dyDescent="0.25">
      <c r="A84" s="9" t="s">
        <v>170</v>
      </c>
      <c r="B84" s="10" t="s">
        <v>171</v>
      </c>
      <c r="C84" s="14" t="s">
        <v>40</v>
      </c>
      <c r="D84" s="12">
        <v>2</v>
      </c>
      <c r="E84" s="15">
        <v>580</v>
      </c>
      <c r="F84" s="13">
        <f t="shared" si="6"/>
        <v>1160</v>
      </c>
      <c r="G84" s="16" t="s">
        <v>14</v>
      </c>
    </row>
    <row r="85" spans="1:7" ht="31.5" x14ac:dyDescent="0.25">
      <c r="A85" s="9" t="s">
        <v>172</v>
      </c>
      <c r="B85" s="10" t="s">
        <v>173</v>
      </c>
      <c r="C85" s="14" t="s">
        <v>40</v>
      </c>
      <c r="D85" s="12">
        <v>12</v>
      </c>
      <c r="E85" s="15">
        <v>409</v>
      </c>
      <c r="F85" s="13">
        <f t="shared" si="6"/>
        <v>4908</v>
      </c>
      <c r="G85" s="16" t="s">
        <v>14</v>
      </c>
    </row>
    <row r="86" spans="1:7" ht="31.5" x14ac:dyDescent="0.25">
      <c r="A86" s="9" t="s">
        <v>172</v>
      </c>
      <c r="B86" s="10" t="s">
        <v>174</v>
      </c>
      <c r="C86" s="14" t="s">
        <v>40</v>
      </c>
      <c r="D86" s="12">
        <v>12</v>
      </c>
      <c r="E86" s="15">
        <v>524</v>
      </c>
      <c r="F86" s="13">
        <f t="shared" si="6"/>
        <v>6288</v>
      </c>
      <c r="G86" s="16" t="s">
        <v>14</v>
      </c>
    </row>
    <row r="87" spans="1:7" ht="31.5" x14ac:dyDescent="0.25">
      <c r="A87" s="9" t="s">
        <v>175</v>
      </c>
      <c r="B87" s="10" t="s">
        <v>176</v>
      </c>
      <c r="C87" s="14" t="s">
        <v>154</v>
      </c>
      <c r="D87" s="12">
        <v>78</v>
      </c>
      <c r="E87" s="15">
        <v>73</v>
      </c>
      <c r="F87" s="13">
        <f t="shared" si="6"/>
        <v>5694</v>
      </c>
      <c r="G87" s="16" t="s">
        <v>14</v>
      </c>
    </row>
    <row r="88" spans="1:7" x14ac:dyDescent="0.25">
      <c r="A88" s="9" t="s">
        <v>177</v>
      </c>
      <c r="B88" s="10" t="s">
        <v>178</v>
      </c>
      <c r="C88" s="11"/>
      <c r="D88" s="12"/>
      <c r="E88" s="15"/>
      <c r="F88" s="13"/>
      <c r="G88" s="11"/>
    </row>
    <row r="89" spans="1:7" ht="47.25" x14ac:dyDescent="0.25">
      <c r="A89" s="9" t="s">
        <v>179</v>
      </c>
      <c r="B89" s="10" t="s">
        <v>180</v>
      </c>
      <c r="C89" s="14" t="s">
        <v>27</v>
      </c>
      <c r="D89" s="12">
        <v>46</v>
      </c>
      <c r="E89" s="15">
        <v>42</v>
      </c>
      <c r="F89" s="13">
        <f>5*ROUND(D89*E89/5,2)</f>
        <v>1932</v>
      </c>
      <c r="G89" s="16" t="s">
        <v>14</v>
      </c>
    </row>
    <row r="90" spans="1:7" x14ac:dyDescent="0.25">
      <c r="A90" s="9" t="s">
        <v>181</v>
      </c>
      <c r="B90" s="10" t="s">
        <v>182</v>
      </c>
      <c r="C90" s="11"/>
      <c r="D90" s="12"/>
      <c r="E90" s="15"/>
      <c r="F90" s="13"/>
      <c r="G90" s="11"/>
    </row>
    <row r="91" spans="1:7" ht="78.75" x14ac:dyDescent="0.25">
      <c r="A91" s="9" t="s">
        <v>183</v>
      </c>
      <c r="B91" s="10" t="s">
        <v>184</v>
      </c>
      <c r="C91" s="14" t="s">
        <v>40</v>
      </c>
      <c r="D91" s="12">
        <v>11</v>
      </c>
      <c r="E91" s="15">
        <v>515</v>
      </c>
      <c r="F91" s="13">
        <f t="shared" ref="F91:F95" si="7">5*ROUND(D91*E91/5,2)</f>
        <v>5665</v>
      </c>
      <c r="G91" s="16" t="s">
        <v>14</v>
      </c>
    </row>
    <row r="92" spans="1:7" ht="78.75" x14ac:dyDescent="0.25">
      <c r="A92" s="9" t="s">
        <v>185</v>
      </c>
      <c r="B92" s="10" t="s">
        <v>186</v>
      </c>
      <c r="C92" s="14" t="s">
        <v>40</v>
      </c>
      <c r="D92" s="12">
        <v>2</v>
      </c>
      <c r="E92" s="15">
        <v>580</v>
      </c>
      <c r="F92" s="13">
        <f t="shared" si="7"/>
        <v>1160</v>
      </c>
      <c r="G92" s="16" t="s">
        <v>14</v>
      </c>
    </row>
    <row r="93" spans="1:7" ht="63" x14ac:dyDescent="0.25">
      <c r="A93" s="9" t="s">
        <v>187</v>
      </c>
      <c r="B93" s="10" t="s">
        <v>188</v>
      </c>
      <c r="C93" s="14" t="s">
        <v>40</v>
      </c>
      <c r="D93" s="12">
        <v>8</v>
      </c>
      <c r="E93" s="15">
        <v>470</v>
      </c>
      <c r="F93" s="13">
        <f t="shared" si="7"/>
        <v>3760</v>
      </c>
      <c r="G93" s="16" t="s">
        <v>14</v>
      </c>
    </row>
    <row r="94" spans="1:7" ht="63" x14ac:dyDescent="0.25">
      <c r="A94" s="9" t="s">
        <v>189</v>
      </c>
      <c r="B94" s="10" t="s">
        <v>190</v>
      </c>
      <c r="C94" s="14" t="s">
        <v>40</v>
      </c>
      <c r="D94" s="12">
        <v>1</v>
      </c>
      <c r="E94" s="15">
        <v>510</v>
      </c>
      <c r="F94" s="13">
        <f t="shared" si="7"/>
        <v>510</v>
      </c>
      <c r="G94" s="16" t="s">
        <v>14</v>
      </c>
    </row>
    <row r="95" spans="1:7" ht="31.5" x14ac:dyDescent="0.25">
      <c r="A95" s="9" t="s">
        <v>191</v>
      </c>
      <c r="B95" s="10" t="s">
        <v>192</v>
      </c>
      <c r="C95" s="14" t="s">
        <v>40</v>
      </c>
      <c r="D95" s="12">
        <v>12</v>
      </c>
      <c r="E95" s="15">
        <v>521</v>
      </c>
      <c r="F95" s="13">
        <f t="shared" si="7"/>
        <v>6252</v>
      </c>
      <c r="G95" s="16" t="s">
        <v>14</v>
      </c>
    </row>
    <row r="96" spans="1:7" x14ac:dyDescent="0.25">
      <c r="A96" s="5" t="s">
        <v>73</v>
      </c>
      <c r="B96" s="6" t="s">
        <v>193</v>
      </c>
      <c r="C96" s="7"/>
      <c r="D96" s="7"/>
      <c r="E96" s="8"/>
      <c r="F96" s="17">
        <f>SUM(F64:F95)</f>
        <v>77961.850000000006</v>
      </c>
      <c r="G96" s="18"/>
    </row>
    <row r="97" spans="1:7" x14ac:dyDescent="0.25">
      <c r="A97" s="50"/>
      <c r="B97" s="51"/>
      <c r="C97" s="51"/>
      <c r="D97" s="51"/>
      <c r="E97" s="51"/>
      <c r="F97" s="51"/>
      <c r="G97" s="52"/>
    </row>
    <row r="98" spans="1:7" x14ac:dyDescent="0.25">
      <c r="A98" s="5" t="s">
        <v>194</v>
      </c>
      <c r="B98" s="6" t="s">
        <v>195</v>
      </c>
      <c r="C98" s="7"/>
      <c r="D98" s="7"/>
      <c r="E98" s="7"/>
      <c r="F98" s="7"/>
      <c r="G98" s="8"/>
    </row>
    <row r="99" spans="1:7" x14ac:dyDescent="0.25">
      <c r="A99" s="9" t="s">
        <v>196</v>
      </c>
      <c r="B99" s="10" t="s">
        <v>197</v>
      </c>
      <c r="C99" s="11"/>
      <c r="D99" s="12"/>
      <c r="E99" s="13"/>
      <c r="F99" s="13"/>
      <c r="G99" s="11"/>
    </row>
    <row r="100" spans="1:7" ht="31.5" x14ac:dyDescent="0.25">
      <c r="A100" s="9"/>
      <c r="B100" s="10" t="s">
        <v>198</v>
      </c>
      <c r="C100" s="11"/>
      <c r="D100" s="12"/>
      <c r="E100" s="15"/>
      <c r="F100" s="13"/>
      <c r="G100" s="11"/>
    </row>
    <row r="101" spans="1:7" ht="31.5" x14ac:dyDescent="0.25">
      <c r="A101" s="9" t="s">
        <v>199</v>
      </c>
      <c r="B101" s="10" t="s">
        <v>200</v>
      </c>
      <c r="C101" s="14" t="s">
        <v>44</v>
      </c>
      <c r="D101" s="27">
        <v>5403</v>
      </c>
      <c r="E101" s="15">
        <v>0.7</v>
      </c>
      <c r="F101" s="13">
        <f t="shared" ref="F101:F105" si="8">5*ROUND(D101*E101/5,2)</f>
        <v>3782.1</v>
      </c>
      <c r="G101" s="16" t="s">
        <v>14</v>
      </c>
    </row>
    <row r="102" spans="1:7" ht="47.25" x14ac:dyDescent="0.25">
      <c r="A102" s="9" t="s">
        <v>201</v>
      </c>
      <c r="B102" s="10" t="s">
        <v>202</v>
      </c>
      <c r="C102" s="14" t="s">
        <v>44</v>
      </c>
      <c r="D102" s="27">
        <v>5270</v>
      </c>
      <c r="E102" s="15">
        <v>1.05</v>
      </c>
      <c r="F102" s="13">
        <f t="shared" si="8"/>
        <v>5533.5</v>
      </c>
      <c r="G102" s="16" t="s">
        <v>14</v>
      </c>
    </row>
    <row r="103" spans="1:7" ht="47.25" x14ac:dyDescent="0.25">
      <c r="A103" s="9" t="s">
        <v>203</v>
      </c>
      <c r="B103" s="10" t="s">
        <v>204</v>
      </c>
      <c r="C103" s="14" t="s">
        <v>90</v>
      </c>
      <c r="D103" s="27">
        <v>2026.125</v>
      </c>
      <c r="E103" s="15">
        <v>58</v>
      </c>
      <c r="F103" s="13">
        <f t="shared" si="8"/>
        <v>117515.25</v>
      </c>
      <c r="G103" s="16" t="s">
        <v>14</v>
      </c>
    </row>
    <row r="104" spans="1:7" x14ac:dyDescent="0.25">
      <c r="A104" s="9" t="s">
        <v>205</v>
      </c>
      <c r="B104" s="10" t="s">
        <v>206</v>
      </c>
      <c r="C104" s="14" t="s">
        <v>90</v>
      </c>
      <c r="D104" s="12">
        <v>1066</v>
      </c>
      <c r="E104" s="15">
        <v>-23.2</v>
      </c>
      <c r="F104" s="13">
        <f t="shared" si="8"/>
        <v>-24731.199999999997</v>
      </c>
      <c r="G104" s="16" t="s">
        <v>14</v>
      </c>
    </row>
    <row r="105" spans="1:7" ht="47.25" x14ac:dyDescent="0.25">
      <c r="A105" s="9" t="s">
        <v>205</v>
      </c>
      <c r="B105" s="10" t="s">
        <v>207</v>
      </c>
      <c r="C105" s="14" t="s">
        <v>44</v>
      </c>
      <c r="D105" s="27">
        <v>5403</v>
      </c>
      <c r="E105" s="15">
        <v>4.5</v>
      </c>
      <c r="F105" s="13">
        <f t="shared" si="8"/>
        <v>24313.5</v>
      </c>
      <c r="G105" s="16" t="s">
        <v>14</v>
      </c>
    </row>
    <row r="106" spans="1:7" ht="63" x14ac:dyDescent="0.25">
      <c r="A106" s="9" t="s">
        <v>208</v>
      </c>
      <c r="B106" s="10" t="s">
        <v>209</v>
      </c>
      <c r="C106" s="14" t="s">
        <v>90</v>
      </c>
      <c r="D106" s="12"/>
      <c r="E106" s="15"/>
      <c r="F106" s="13"/>
      <c r="G106" s="16" t="s">
        <v>14</v>
      </c>
    </row>
    <row r="107" spans="1:7" ht="78.75" x14ac:dyDescent="0.25">
      <c r="A107" s="9" t="s">
        <v>210</v>
      </c>
      <c r="B107" s="10" t="s">
        <v>211</v>
      </c>
      <c r="C107" s="14" t="s">
        <v>154</v>
      </c>
      <c r="D107" s="12">
        <v>8</v>
      </c>
      <c r="E107" s="15">
        <v>300</v>
      </c>
      <c r="F107" s="13">
        <f>5*ROUND(D107*E107/5,2)</f>
        <v>2400</v>
      </c>
      <c r="G107" s="16" t="s">
        <v>14</v>
      </c>
    </row>
    <row r="108" spans="1:7" x14ac:dyDescent="0.25">
      <c r="A108" s="9" t="s">
        <v>212</v>
      </c>
      <c r="B108" s="10" t="s">
        <v>213</v>
      </c>
      <c r="C108" s="11"/>
      <c r="D108" s="12"/>
      <c r="E108" s="15"/>
      <c r="F108" s="13"/>
      <c r="G108" s="11"/>
    </row>
    <row r="109" spans="1:7" ht="63" x14ac:dyDescent="0.25">
      <c r="A109" s="9" t="s">
        <v>214</v>
      </c>
      <c r="B109" s="10" t="s">
        <v>215</v>
      </c>
      <c r="C109" s="14" t="s">
        <v>27</v>
      </c>
      <c r="D109" s="12">
        <v>1846</v>
      </c>
      <c r="E109" s="15">
        <v>43.5</v>
      </c>
      <c r="F109" s="13">
        <f>5*ROUND(D109*E109/5,2)</f>
        <v>80301</v>
      </c>
      <c r="G109" s="16" t="s">
        <v>14</v>
      </c>
    </row>
    <row r="110" spans="1:7" ht="31.5" x14ac:dyDescent="0.25">
      <c r="A110" s="9" t="s">
        <v>216</v>
      </c>
      <c r="B110" s="10" t="s">
        <v>217</v>
      </c>
      <c r="C110" s="14" t="s">
        <v>27</v>
      </c>
      <c r="D110" s="12">
        <v>1673</v>
      </c>
      <c r="E110" s="15">
        <v>3</v>
      </c>
      <c r="F110" s="13">
        <f t="shared" ref="F110:F113" si="9">5*ROUND(D110*E110/5,2)</f>
        <v>5019</v>
      </c>
      <c r="G110" s="16" t="s">
        <v>14</v>
      </c>
    </row>
    <row r="111" spans="1:7" ht="47.25" x14ac:dyDescent="0.25">
      <c r="A111" s="9" t="s">
        <v>214</v>
      </c>
      <c r="B111" s="10" t="s">
        <v>218</v>
      </c>
      <c r="C111" s="14" t="s">
        <v>27</v>
      </c>
      <c r="D111" s="12">
        <v>47</v>
      </c>
      <c r="E111" s="15">
        <v>88</v>
      </c>
      <c r="F111" s="13">
        <f t="shared" si="9"/>
        <v>4136</v>
      </c>
      <c r="G111" s="16" t="s">
        <v>14</v>
      </c>
    </row>
    <row r="112" spans="1:7" ht="47.25" x14ac:dyDescent="0.25">
      <c r="A112" s="9" t="s">
        <v>214</v>
      </c>
      <c r="B112" s="10" t="s">
        <v>219</v>
      </c>
      <c r="C112" s="14" t="s">
        <v>27</v>
      </c>
      <c r="D112" s="12">
        <v>36</v>
      </c>
      <c r="E112" s="15">
        <v>88</v>
      </c>
      <c r="F112" s="13">
        <f t="shared" si="9"/>
        <v>3168</v>
      </c>
      <c r="G112" s="16" t="s">
        <v>14</v>
      </c>
    </row>
    <row r="113" spans="1:7" ht="31.5" x14ac:dyDescent="0.25">
      <c r="A113" s="9" t="s">
        <v>73</v>
      </c>
      <c r="B113" s="10" t="s">
        <v>220</v>
      </c>
      <c r="C113" s="14" t="s">
        <v>27</v>
      </c>
      <c r="D113" s="12">
        <v>51</v>
      </c>
      <c r="E113" s="15">
        <v>12</v>
      </c>
      <c r="F113" s="13">
        <f t="shared" si="9"/>
        <v>612</v>
      </c>
      <c r="G113" s="16" t="s">
        <v>14</v>
      </c>
    </row>
    <row r="114" spans="1:7" x14ac:dyDescent="0.25">
      <c r="A114" s="9" t="s">
        <v>221</v>
      </c>
      <c r="B114" s="10" t="s">
        <v>222</v>
      </c>
      <c r="C114" s="11"/>
      <c r="D114" s="12"/>
      <c r="E114" s="15"/>
      <c r="F114" s="13"/>
      <c r="G114" s="11"/>
    </row>
    <row r="115" spans="1:7" x14ac:dyDescent="0.25">
      <c r="A115" s="9" t="s">
        <v>73</v>
      </c>
      <c r="B115" s="10" t="s">
        <v>223</v>
      </c>
      <c r="C115" s="11"/>
      <c r="D115" s="12"/>
      <c r="E115" s="15"/>
      <c r="F115" s="13"/>
      <c r="G115" s="11"/>
    </row>
    <row r="116" spans="1:7" ht="31.5" x14ac:dyDescent="0.25">
      <c r="A116" s="9" t="s">
        <v>224</v>
      </c>
      <c r="B116" s="10" t="s">
        <v>225</v>
      </c>
      <c r="C116" s="14" t="s">
        <v>44</v>
      </c>
      <c r="D116" s="27">
        <v>2200</v>
      </c>
      <c r="E116" s="15">
        <v>35</v>
      </c>
      <c r="F116" s="13">
        <f t="shared" ref="F116:F118" si="10">5*ROUND(D116*E116/5,2)</f>
        <v>77000</v>
      </c>
      <c r="G116" s="16" t="s">
        <v>14</v>
      </c>
    </row>
    <row r="117" spans="1:7" x14ac:dyDescent="0.25">
      <c r="A117" s="9" t="s">
        <v>226</v>
      </c>
      <c r="B117" s="10" t="s">
        <v>227</v>
      </c>
      <c r="C117" s="14" t="s">
        <v>44</v>
      </c>
      <c r="D117" s="27">
        <v>2200</v>
      </c>
      <c r="E117" s="15">
        <v>3.01</v>
      </c>
      <c r="F117" s="13">
        <f t="shared" si="10"/>
        <v>6622</v>
      </c>
      <c r="G117" s="16" t="s">
        <v>14</v>
      </c>
    </row>
    <row r="118" spans="1:7" ht="31.5" x14ac:dyDescent="0.25">
      <c r="A118" s="9" t="s">
        <v>228</v>
      </c>
      <c r="B118" s="10" t="s">
        <v>229</v>
      </c>
      <c r="C118" s="14" t="s">
        <v>44</v>
      </c>
      <c r="D118" s="27">
        <v>2200</v>
      </c>
      <c r="E118" s="15">
        <v>16.899999999999999</v>
      </c>
      <c r="F118" s="13">
        <f t="shared" si="10"/>
        <v>37180</v>
      </c>
      <c r="G118" s="16" t="s">
        <v>14</v>
      </c>
    </row>
    <row r="119" spans="1:7" x14ac:dyDescent="0.25">
      <c r="A119" s="9" t="s">
        <v>73</v>
      </c>
      <c r="B119" s="10" t="s">
        <v>230</v>
      </c>
      <c r="C119" s="11"/>
      <c r="D119" s="12"/>
      <c r="E119" s="15"/>
      <c r="F119" s="13"/>
      <c r="G119" s="11"/>
    </row>
    <row r="120" spans="1:7" ht="31.5" x14ac:dyDescent="0.25">
      <c r="A120" s="9" t="s">
        <v>224</v>
      </c>
      <c r="B120" s="10" t="s">
        <v>231</v>
      </c>
      <c r="C120" s="14" t="s">
        <v>44</v>
      </c>
      <c r="D120" s="12">
        <v>203</v>
      </c>
      <c r="E120" s="15">
        <v>28</v>
      </c>
      <c r="F120" s="13">
        <f t="shared" ref="F120:F122" si="11">5*ROUND(D120*E120/5,2)</f>
        <v>5684</v>
      </c>
      <c r="G120" s="16" t="s">
        <v>14</v>
      </c>
    </row>
    <row r="121" spans="1:7" x14ac:dyDescent="0.25">
      <c r="A121" s="9" t="s">
        <v>226</v>
      </c>
      <c r="B121" s="10" t="s">
        <v>227</v>
      </c>
      <c r="C121" s="14" t="s">
        <v>44</v>
      </c>
      <c r="D121" s="12">
        <v>203</v>
      </c>
      <c r="E121" s="15">
        <v>3.1</v>
      </c>
      <c r="F121" s="13">
        <f t="shared" si="11"/>
        <v>629.29999999999995</v>
      </c>
      <c r="G121" s="16" t="s">
        <v>14</v>
      </c>
    </row>
    <row r="122" spans="1:7" ht="31.5" x14ac:dyDescent="0.25">
      <c r="A122" s="9" t="s">
        <v>228</v>
      </c>
      <c r="B122" s="10" t="s">
        <v>232</v>
      </c>
      <c r="C122" s="14" t="s">
        <v>44</v>
      </c>
      <c r="D122" s="12">
        <v>203</v>
      </c>
      <c r="E122" s="15">
        <v>18.2</v>
      </c>
      <c r="F122" s="13">
        <f t="shared" si="11"/>
        <v>3694.6</v>
      </c>
      <c r="G122" s="16" t="s">
        <v>14</v>
      </c>
    </row>
    <row r="123" spans="1:7" x14ac:dyDescent="0.25">
      <c r="A123" s="9" t="s">
        <v>233</v>
      </c>
      <c r="B123" s="10" t="s">
        <v>234</v>
      </c>
      <c r="C123" s="11"/>
      <c r="D123" s="12"/>
      <c r="E123" s="15"/>
      <c r="F123" s="13"/>
      <c r="G123" s="11"/>
    </row>
    <row r="124" spans="1:7" x14ac:dyDescent="0.25">
      <c r="A124" s="9" t="s">
        <v>235</v>
      </c>
      <c r="B124" s="10" t="s">
        <v>236</v>
      </c>
      <c r="C124" s="14" t="s">
        <v>44</v>
      </c>
      <c r="D124" s="27">
        <v>790</v>
      </c>
      <c r="E124" s="15">
        <v>1.2</v>
      </c>
      <c r="F124" s="13">
        <f t="shared" ref="F124:F140" si="12">5*ROUND(D124*E124/5,2)</f>
        <v>948</v>
      </c>
      <c r="G124" s="16" t="s">
        <v>14</v>
      </c>
    </row>
    <row r="125" spans="1:7" x14ac:dyDescent="0.25">
      <c r="A125" s="9" t="s">
        <v>235</v>
      </c>
      <c r="B125" s="10" t="s">
        <v>237</v>
      </c>
      <c r="C125" s="14" t="s">
        <v>44</v>
      </c>
      <c r="D125" s="27">
        <v>790</v>
      </c>
      <c r="E125" s="15">
        <v>8</v>
      </c>
      <c r="F125" s="13">
        <f t="shared" si="12"/>
        <v>6320</v>
      </c>
      <c r="G125" s="16" t="s">
        <v>14</v>
      </c>
    </row>
    <row r="126" spans="1:7" x14ac:dyDescent="0.25">
      <c r="A126" s="9" t="s">
        <v>238</v>
      </c>
      <c r="B126" s="10" t="s">
        <v>239</v>
      </c>
      <c r="C126" s="14" t="s">
        <v>27</v>
      </c>
      <c r="D126" s="27">
        <v>400</v>
      </c>
      <c r="E126" s="15">
        <v>11</v>
      </c>
      <c r="F126" s="13">
        <f t="shared" si="12"/>
        <v>4400</v>
      </c>
      <c r="G126" s="16" t="s">
        <v>14</v>
      </c>
    </row>
    <row r="127" spans="1:7" ht="31.5" x14ac:dyDescent="0.25">
      <c r="A127" s="9" t="s">
        <v>240</v>
      </c>
      <c r="B127" s="10" t="s">
        <v>241</v>
      </c>
      <c r="C127" s="14" t="s">
        <v>27</v>
      </c>
      <c r="D127" s="12">
        <v>96</v>
      </c>
      <c r="E127" s="15">
        <v>36</v>
      </c>
      <c r="F127" s="13">
        <f t="shared" si="12"/>
        <v>3456</v>
      </c>
      <c r="G127" s="16" t="s">
        <v>14</v>
      </c>
    </row>
    <row r="128" spans="1:7" x14ac:dyDescent="0.25">
      <c r="A128" s="9" t="s">
        <v>242</v>
      </c>
      <c r="B128" s="10" t="s">
        <v>243</v>
      </c>
      <c r="C128" s="14" t="s">
        <v>40</v>
      </c>
      <c r="D128" s="27">
        <v>100</v>
      </c>
      <c r="E128" s="15">
        <v>28</v>
      </c>
      <c r="F128" s="13">
        <f t="shared" si="12"/>
        <v>2800</v>
      </c>
      <c r="G128" s="16" t="s">
        <v>14</v>
      </c>
    </row>
    <row r="129" spans="1:7" ht="31.5" x14ac:dyDescent="0.25">
      <c r="A129" s="9" t="s">
        <v>244</v>
      </c>
      <c r="B129" s="10" t="s">
        <v>245</v>
      </c>
      <c r="C129" s="14" t="s">
        <v>27</v>
      </c>
      <c r="D129" s="27">
        <v>2152.701</v>
      </c>
      <c r="E129" s="15">
        <v>1.9</v>
      </c>
      <c r="F129" s="13">
        <f t="shared" si="12"/>
        <v>4090.1499999999996</v>
      </c>
      <c r="G129" s="16" t="s">
        <v>14</v>
      </c>
    </row>
    <row r="130" spans="1:7" ht="31.5" x14ac:dyDescent="0.25">
      <c r="A130" s="9" t="s">
        <v>244</v>
      </c>
      <c r="B130" s="10" t="s">
        <v>246</v>
      </c>
      <c r="C130" s="14" t="s">
        <v>27</v>
      </c>
      <c r="D130" s="27">
        <v>2152.701</v>
      </c>
      <c r="E130" s="15">
        <v>3.8</v>
      </c>
      <c r="F130" s="13">
        <f t="shared" si="12"/>
        <v>8180.25</v>
      </c>
      <c r="G130" s="16" t="s">
        <v>14</v>
      </c>
    </row>
    <row r="131" spans="1:7" ht="31.5" x14ac:dyDescent="0.25">
      <c r="A131" s="9" t="s">
        <v>247</v>
      </c>
      <c r="B131" s="10" t="s">
        <v>248</v>
      </c>
      <c r="C131" s="14" t="s">
        <v>249</v>
      </c>
      <c r="D131" s="27">
        <v>11060</v>
      </c>
      <c r="E131" s="15">
        <v>1.9</v>
      </c>
      <c r="F131" s="13">
        <f t="shared" si="12"/>
        <v>21014</v>
      </c>
      <c r="G131" s="16" t="s">
        <v>14</v>
      </c>
    </row>
    <row r="132" spans="1:7" ht="31.5" x14ac:dyDescent="0.25">
      <c r="A132" s="9" t="s">
        <v>250</v>
      </c>
      <c r="B132" s="10" t="s">
        <v>251</v>
      </c>
      <c r="C132" s="14" t="s">
        <v>44</v>
      </c>
      <c r="D132" s="27">
        <v>790</v>
      </c>
      <c r="E132" s="15">
        <v>56.5</v>
      </c>
      <c r="F132" s="13">
        <f t="shared" si="12"/>
        <v>44635</v>
      </c>
      <c r="G132" s="16" t="s">
        <v>14</v>
      </c>
    </row>
    <row r="133" spans="1:7" ht="31.5" x14ac:dyDescent="0.25">
      <c r="A133" s="9" t="s">
        <v>252</v>
      </c>
      <c r="B133" s="10" t="s">
        <v>253</v>
      </c>
      <c r="C133" s="14" t="s">
        <v>44</v>
      </c>
      <c r="D133" s="27">
        <v>790</v>
      </c>
      <c r="E133" s="29">
        <v>109</v>
      </c>
      <c r="F133" s="28">
        <v>0</v>
      </c>
      <c r="G133" s="16" t="s">
        <v>14</v>
      </c>
    </row>
    <row r="134" spans="1:7" ht="78.75" x14ac:dyDescent="0.25">
      <c r="A134" s="9" t="s">
        <v>254</v>
      </c>
      <c r="B134" s="10" t="s">
        <v>255</v>
      </c>
      <c r="C134" s="14" t="s">
        <v>44</v>
      </c>
      <c r="D134" s="27">
        <v>790</v>
      </c>
      <c r="E134" s="15">
        <v>42</v>
      </c>
      <c r="F134" s="28">
        <v>0</v>
      </c>
      <c r="G134" s="16" t="s">
        <v>14</v>
      </c>
    </row>
    <row r="135" spans="1:7" ht="31.5" x14ac:dyDescent="0.25">
      <c r="A135" s="9" t="s">
        <v>256</v>
      </c>
      <c r="B135" s="10" t="s">
        <v>257</v>
      </c>
      <c r="C135" s="14" t="s">
        <v>44</v>
      </c>
      <c r="D135" s="27">
        <v>790</v>
      </c>
      <c r="E135" s="15">
        <v>5.35</v>
      </c>
      <c r="F135" s="28">
        <v>0</v>
      </c>
      <c r="G135" s="16" t="s">
        <v>14</v>
      </c>
    </row>
    <row r="136" spans="1:7" ht="63" x14ac:dyDescent="0.25">
      <c r="A136" s="9" t="s">
        <v>258</v>
      </c>
      <c r="B136" s="10" t="s">
        <v>259</v>
      </c>
      <c r="C136" s="14" t="s">
        <v>44</v>
      </c>
      <c r="D136" s="27">
        <v>790</v>
      </c>
      <c r="E136" s="15">
        <v>38</v>
      </c>
      <c r="F136" s="28">
        <v>0</v>
      </c>
      <c r="G136" s="16" t="s">
        <v>14</v>
      </c>
    </row>
    <row r="137" spans="1:7" ht="63" x14ac:dyDescent="0.25">
      <c r="A137" s="9" t="s">
        <v>260</v>
      </c>
      <c r="B137" s="10" t="s">
        <v>261</v>
      </c>
      <c r="C137" s="14" t="s">
        <v>44</v>
      </c>
      <c r="D137" s="27">
        <v>790</v>
      </c>
      <c r="E137" s="29">
        <v>32</v>
      </c>
      <c r="F137" s="13">
        <f t="shared" si="12"/>
        <v>25280</v>
      </c>
      <c r="G137" s="16" t="s">
        <v>14</v>
      </c>
    </row>
    <row r="138" spans="1:7" x14ac:dyDescent="0.25">
      <c r="A138" s="9" t="s">
        <v>262</v>
      </c>
      <c r="B138" s="10" t="s">
        <v>263</v>
      </c>
      <c r="C138" s="14" t="s">
        <v>44</v>
      </c>
      <c r="D138" s="27">
        <v>790</v>
      </c>
      <c r="E138" s="15">
        <v>3.3</v>
      </c>
      <c r="F138" s="13">
        <f t="shared" si="12"/>
        <v>2607</v>
      </c>
      <c r="G138" s="16" t="s">
        <v>14</v>
      </c>
    </row>
    <row r="139" spans="1:7" x14ac:dyDescent="0.25">
      <c r="A139" s="9" t="s">
        <v>264</v>
      </c>
      <c r="B139" s="10" t="s">
        <v>265</v>
      </c>
      <c r="C139" s="14" t="s">
        <v>27</v>
      </c>
      <c r="D139" s="12">
        <v>381</v>
      </c>
      <c r="E139" s="15">
        <v>12.2</v>
      </c>
      <c r="F139" s="13">
        <f t="shared" si="12"/>
        <v>4648.2</v>
      </c>
      <c r="G139" s="16" t="s">
        <v>14</v>
      </c>
    </row>
    <row r="140" spans="1:7" ht="47.25" x14ac:dyDescent="0.25">
      <c r="A140" s="9" t="s">
        <v>266</v>
      </c>
      <c r="B140" s="10" t="s">
        <v>267</v>
      </c>
      <c r="C140" s="14" t="s">
        <v>40</v>
      </c>
      <c r="D140" s="12">
        <v>8</v>
      </c>
      <c r="E140" s="15">
        <v>120</v>
      </c>
      <c r="F140" s="13">
        <f t="shared" si="12"/>
        <v>960</v>
      </c>
      <c r="G140" s="16" t="s">
        <v>14</v>
      </c>
    </row>
    <row r="141" spans="1:7" x14ac:dyDescent="0.25">
      <c r="A141" s="9" t="s">
        <v>268</v>
      </c>
      <c r="B141" s="10" t="s">
        <v>269</v>
      </c>
      <c r="C141" s="11"/>
      <c r="D141" s="12"/>
      <c r="E141" s="15"/>
      <c r="F141" s="13"/>
      <c r="G141" s="11"/>
    </row>
    <row r="142" spans="1:7" ht="31.5" x14ac:dyDescent="0.25">
      <c r="A142" s="9" t="s">
        <v>270</v>
      </c>
      <c r="B142" s="10" t="s">
        <v>271</v>
      </c>
      <c r="C142" s="14" t="s">
        <v>44</v>
      </c>
      <c r="D142" s="27">
        <v>1900</v>
      </c>
      <c r="E142" s="15">
        <v>12.3</v>
      </c>
      <c r="F142" s="13">
        <f t="shared" ref="F142:F144" si="13">5*ROUND(D142*E142/5,2)</f>
        <v>23370</v>
      </c>
      <c r="G142" s="16" t="s">
        <v>14</v>
      </c>
    </row>
    <row r="143" spans="1:7" ht="31.5" x14ac:dyDescent="0.25">
      <c r="A143" s="44" t="s">
        <v>272</v>
      </c>
      <c r="B143" s="32" t="s">
        <v>273</v>
      </c>
      <c r="C143" s="33" t="s">
        <v>44</v>
      </c>
      <c r="D143" s="34">
        <v>1900</v>
      </c>
      <c r="E143" s="15">
        <v>4.92</v>
      </c>
      <c r="F143" s="28">
        <v>0</v>
      </c>
      <c r="G143" s="16" t="s">
        <v>14</v>
      </c>
    </row>
    <row r="144" spans="1:7" ht="31.5" x14ac:dyDescent="0.25">
      <c r="A144" s="9" t="s">
        <v>274</v>
      </c>
      <c r="B144" s="10" t="s">
        <v>275</v>
      </c>
      <c r="C144" s="14" t="s">
        <v>44</v>
      </c>
      <c r="D144" s="27">
        <v>1900</v>
      </c>
      <c r="E144" s="15">
        <v>1.23</v>
      </c>
      <c r="F144" s="13">
        <f t="shared" si="13"/>
        <v>2337</v>
      </c>
      <c r="G144" s="16" t="s">
        <v>14</v>
      </c>
    </row>
    <row r="145" spans="1:7" x14ac:dyDescent="0.25">
      <c r="A145" s="9" t="s">
        <v>276</v>
      </c>
      <c r="B145" s="10" t="s">
        <v>277</v>
      </c>
      <c r="C145" s="11"/>
      <c r="D145" s="12"/>
      <c r="E145" s="15"/>
      <c r="F145" s="13"/>
      <c r="G145" s="11"/>
    </row>
    <row r="146" spans="1:7" ht="31.5" x14ac:dyDescent="0.25">
      <c r="A146" s="9" t="s">
        <v>278</v>
      </c>
      <c r="B146" s="10" t="s">
        <v>279</v>
      </c>
      <c r="C146" s="14" t="s">
        <v>44</v>
      </c>
      <c r="D146" s="12" t="s">
        <v>28</v>
      </c>
      <c r="E146" s="15">
        <v>12.2</v>
      </c>
      <c r="F146" s="13"/>
      <c r="G146" s="16" t="s">
        <v>29</v>
      </c>
    </row>
    <row r="147" spans="1:7" ht="47.25" x14ac:dyDescent="0.25">
      <c r="A147" s="9" t="s">
        <v>280</v>
      </c>
      <c r="B147" s="10" t="s">
        <v>281</v>
      </c>
      <c r="C147" s="14" t="s">
        <v>27</v>
      </c>
      <c r="D147" s="12">
        <v>46</v>
      </c>
      <c r="E147" s="15">
        <v>38</v>
      </c>
      <c r="F147" s="13">
        <f t="shared" ref="F147:F148" si="14">5*ROUND(D147*E147/5,2)</f>
        <v>1748</v>
      </c>
      <c r="G147" s="16" t="s">
        <v>14</v>
      </c>
    </row>
    <row r="148" spans="1:7" ht="31.5" x14ac:dyDescent="0.25">
      <c r="A148" s="9" t="s">
        <v>282</v>
      </c>
      <c r="B148" s="10" t="s">
        <v>283</v>
      </c>
      <c r="C148" s="14" t="s">
        <v>27</v>
      </c>
      <c r="D148" s="12">
        <v>46</v>
      </c>
      <c r="E148" s="15">
        <v>47.4</v>
      </c>
      <c r="F148" s="13">
        <f t="shared" si="14"/>
        <v>2180.4</v>
      </c>
      <c r="G148" s="16" t="s">
        <v>132</v>
      </c>
    </row>
    <row r="149" spans="1:7" x14ac:dyDescent="0.25">
      <c r="A149" s="5" t="s">
        <v>73</v>
      </c>
      <c r="B149" s="6" t="s">
        <v>284</v>
      </c>
      <c r="C149" s="7"/>
      <c r="D149" s="7"/>
      <c r="E149" s="8"/>
      <c r="F149" s="17">
        <f>SUM(F99:F148)</f>
        <v>511833.05000000005</v>
      </c>
      <c r="G149" s="18"/>
    </row>
    <row r="150" spans="1:7" x14ac:dyDescent="0.25">
      <c r="A150" s="50"/>
      <c r="B150" s="51"/>
      <c r="C150" s="51"/>
      <c r="D150" s="51"/>
      <c r="E150" s="51"/>
      <c r="F150" s="51"/>
      <c r="G150" s="52"/>
    </row>
    <row r="151" spans="1:7" x14ac:dyDescent="0.25">
      <c r="A151" s="5" t="s">
        <v>285</v>
      </c>
      <c r="B151" s="6" t="s">
        <v>286</v>
      </c>
      <c r="C151" s="7"/>
      <c r="D151" s="7"/>
      <c r="E151" s="19"/>
      <c r="F151" s="19"/>
      <c r="G151" s="20"/>
    </row>
    <row r="152" spans="1:7" x14ac:dyDescent="0.25">
      <c r="A152" s="9" t="s">
        <v>287</v>
      </c>
      <c r="B152" s="10" t="s">
        <v>288</v>
      </c>
      <c r="C152" s="11"/>
      <c r="D152" s="12"/>
      <c r="E152" s="13"/>
      <c r="F152" s="13"/>
      <c r="G152" s="11"/>
    </row>
    <row r="153" spans="1:7" ht="31.5" x14ac:dyDescent="0.25">
      <c r="A153" s="9" t="s">
        <v>289</v>
      </c>
      <c r="B153" s="10" t="s">
        <v>290</v>
      </c>
      <c r="C153" s="14" t="s">
        <v>40</v>
      </c>
      <c r="D153" s="12">
        <v>124</v>
      </c>
      <c r="E153" s="15">
        <v>94</v>
      </c>
      <c r="F153" s="13">
        <f t="shared" ref="F153:F155" si="15">5*ROUND(D153*E153/5,2)</f>
        <v>11656</v>
      </c>
      <c r="G153" s="16" t="s">
        <v>14</v>
      </c>
    </row>
    <row r="154" spans="1:7" ht="31.5" x14ac:dyDescent="0.25">
      <c r="A154" s="9" t="s">
        <v>291</v>
      </c>
      <c r="B154" s="10" t="s">
        <v>292</v>
      </c>
      <c r="C154" s="14" t="s">
        <v>27</v>
      </c>
      <c r="D154" s="12">
        <v>196</v>
      </c>
      <c r="E154" s="15">
        <v>81.5</v>
      </c>
      <c r="F154" s="13">
        <f t="shared" si="15"/>
        <v>15974</v>
      </c>
      <c r="G154" s="16" t="s">
        <v>14</v>
      </c>
    </row>
    <row r="155" spans="1:7" ht="31.5" x14ac:dyDescent="0.25">
      <c r="A155" s="9" t="s">
        <v>293</v>
      </c>
      <c r="B155" s="10" t="s">
        <v>294</v>
      </c>
      <c r="C155" s="14" t="s">
        <v>44</v>
      </c>
      <c r="D155" s="12">
        <v>81</v>
      </c>
      <c r="E155" s="15">
        <v>10.5</v>
      </c>
      <c r="F155" s="13">
        <f t="shared" si="15"/>
        <v>850.5</v>
      </c>
      <c r="G155" s="16" t="s">
        <v>14</v>
      </c>
    </row>
    <row r="156" spans="1:7" x14ac:dyDescent="0.25">
      <c r="A156" s="9" t="s">
        <v>295</v>
      </c>
      <c r="B156" s="10" t="s">
        <v>296</v>
      </c>
      <c r="C156" s="11"/>
      <c r="D156" s="12"/>
      <c r="E156" s="15"/>
      <c r="F156" s="13"/>
      <c r="G156" s="11"/>
    </row>
    <row r="157" spans="1:7" ht="47.25" x14ac:dyDescent="0.25">
      <c r="A157" s="9" t="s">
        <v>297</v>
      </c>
      <c r="B157" s="10" t="s">
        <v>298</v>
      </c>
      <c r="C157" s="14" t="s">
        <v>40</v>
      </c>
      <c r="D157" s="12">
        <v>24</v>
      </c>
      <c r="E157" s="15">
        <v>604</v>
      </c>
      <c r="F157" s="13">
        <f>5*ROUND(D157*E157/5,2)</f>
        <v>14496</v>
      </c>
      <c r="G157" s="16" t="s">
        <v>14</v>
      </c>
    </row>
    <row r="158" spans="1:7" x14ac:dyDescent="0.25">
      <c r="A158" s="9" t="s">
        <v>299</v>
      </c>
      <c r="B158" s="10" t="s">
        <v>300</v>
      </c>
      <c r="C158" s="11"/>
      <c r="D158" s="12"/>
      <c r="E158" s="15"/>
      <c r="F158" s="13"/>
      <c r="G158" s="11"/>
    </row>
    <row r="159" spans="1:7" ht="31.5" x14ac:dyDescent="0.25">
      <c r="A159" s="9" t="s">
        <v>301</v>
      </c>
      <c r="B159" s="10" t="s">
        <v>302</v>
      </c>
      <c r="C159" s="14" t="s">
        <v>40</v>
      </c>
      <c r="D159" s="12">
        <v>87</v>
      </c>
      <c r="E159" s="15">
        <v>100</v>
      </c>
      <c r="F159" s="13">
        <f t="shared" ref="F159:F160" si="16">5*ROUND(D159*E159/5,2)</f>
        <v>8700</v>
      </c>
      <c r="G159" s="16" t="s">
        <v>14</v>
      </c>
    </row>
    <row r="160" spans="1:7" ht="47.25" x14ac:dyDescent="0.25">
      <c r="A160" s="9" t="s">
        <v>303</v>
      </c>
      <c r="B160" s="10" t="s">
        <v>304</v>
      </c>
      <c r="C160" s="14" t="s">
        <v>27</v>
      </c>
      <c r="D160" s="12">
        <v>87</v>
      </c>
      <c r="E160" s="15">
        <v>118</v>
      </c>
      <c r="F160" s="13">
        <f t="shared" si="16"/>
        <v>10266</v>
      </c>
      <c r="G160" s="16" t="s">
        <v>14</v>
      </c>
    </row>
    <row r="161" spans="1:7" x14ac:dyDescent="0.25">
      <c r="A161" s="5" t="s">
        <v>73</v>
      </c>
      <c r="B161" s="6" t="s">
        <v>305</v>
      </c>
      <c r="C161" s="7"/>
      <c r="D161" s="7"/>
      <c r="E161" s="8"/>
      <c r="F161" s="17">
        <f>SUM(F152:F160)</f>
        <v>61942.5</v>
      </c>
      <c r="G161" s="18"/>
    </row>
    <row r="162" spans="1:7" x14ac:dyDescent="0.25">
      <c r="A162" s="50"/>
      <c r="B162" s="51"/>
      <c r="C162" s="51"/>
      <c r="D162" s="51"/>
      <c r="E162" s="51"/>
      <c r="F162" s="51"/>
      <c r="G162" s="52"/>
    </row>
    <row r="163" spans="1:7" x14ac:dyDescent="0.25">
      <c r="A163" s="5" t="s">
        <v>306</v>
      </c>
      <c r="B163" s="6" t="s">
        <v>307</v>
      </c>
      <c r="C163" s="7"/>
      <c r="D163" s="7"/>
      <c r="E163" s="7"/>
      <c r="F163" s="7"/>
      <c r="G163" s="8"/>
    </row>
    <row r="164" spans="1:7" x14ac:dyDescent="0.25">
      <c r="A164" s="9" t="s">
        <v>308</v>
      </c>
      <c r="B164" s="10" t="s">
        <v>309</v>
      </c>
      <c r="C164" s="11"/>
      <c r="D164" s="12"/>
      <c r="E164" s="13"/>
      <c r="F164" s="13"/>
      <c r="G164" s="11"/>
    </row>
    <row r="165" spans="1:7" ht="31.5" x14ac:dyDescent="0.25">
      <c r="A165" s="9" t="s">
        <v>310</v>
      </c>
      <c r="B165" s="10" t="s">
        <v>311</v>
      </c>
      <c r="C165" s="14" t="s">
        <v>90</v>
      </c>
      <c r="D165" s="27">
        <v>4680</v>
      </c>
      <c r="E165" s="15">
        <v>32.200000000000003</v>
      </c>
      <c r="F165" s="13">
        <f t="shared" ref="F165:F166" si="17">5*ROUND(D165*E165/5,2)</f>
        <v>150696</v>
      </c>
      <c r="G165" s="16" t="s">
        <v>14</v>
      </c>
    </row>
    <row r="166" spans="1:7" ht="47.25" x14ac:dyDescent="0.25">
      <c r="A166" s="9" t="s">
        <v>312</v>
      </c>
      <c r="B166" s="10" t="s">
        <v>313</v>
      </c>
      <c r="C166" s="14" t="s">
        <v>90</v>
      </c>
      <c r="D166" s="12">
        <v>993</v>
      </c>
      <c r="E166" s="15">
        <v>61</v>
      </c>
      <c r="F166" s="13">
        <f t="shared" si="17"/>
        <v>60573</v>
      </c>
      <c r="G166" s="16" t="s">
        <v>14</v>
      </c>
    </row>
    <row r="167" spans="1:7" x14ac:dyDescent="0.25">
      <c r="A167" s="9" t="s">
        <v>314</v>
      </c>
      <c r="B167" s="10" t="s">
        <v>315</v>
      </c>
      <c r="C167" s="11"/>
      <c r="D167" s="12"/>
      <c r="E167" s="15"/>
      <c r="F167" s="13"/>
      <c r="G167" s="11"/>
    </row>
    <row r="168" spans="1:7" ht="31.5" x14ac:dyDescent="0.25">
      <c r="A168" s="9" t="s">
        <v>316</v>
      </c>
      <c r="B168" s="10" t="s">
        <v>317</v>
      </c>
      <c r="C168" s="14" t="s">
        <v>90</v>
      </c>
      <c r="D168" s="12">
        <v>500</v>
      </c>
      <c r="E168" s="15">
        <v>22</v>
      </c>
      <c r="F168" s="13">
        <f t="shared" ref="F168:F172" si="18">5*ROUND(D168*E168/5,2)</f>
        <v>11000</v>
      </c>
      <c r="G168" s="16" t="s">
        <v>14</v>
      </c>
    </row>
    <row r="169" spans="1:7" ht="47.25" x14ac:dyDescent="0.25">
      <c r="A169" s="9" t="s">
        <v>318</v>
      </c>
      <c r="B169" s="10" t="s">
        <v>319</v>
      </c>
      <c r="C169" s="14" t="s">
        <v>90</v>
      </c>
      <c r="D169" s="27">
        <v>4680</v>
      </c>
      <c r="E169" s="15">
        <v>12</v>
      </c>
      <c r="F169" s="13">
        <f t="shared" si="18"/>
        <v>56160</v>
      </c>
      <c r="G169" s="16" t="s">
        <v>14</v>
      </c>
    </row>
    <row r="170" spans="1:7" ht="31.5" x14ac:dyDescent="0.25">
      <c r="A170" s="9" t="s">
        <v>320</v>
      </c>
      <c r="B170" s="10" t="s">
        <v>321</v>
      </c>
      <c r="C170" s="14" t="s">
        <v>90</v>
      </c>
      <c r="D170" s="12">
        <v>98</v>
      </c>
      <c r="E170" s="15">
        <v>54</v>
      </c>
      <c r="F170" s="13">
        <f t="shared" si="18"/>
        <v>5292</v>
      </c>
      <c r="G170" s="16" t="s">
        <v>14</v>
      </c>
    </row>
    <row r="171" spans="1:7" ht="31.5" x14ac:dyDescent="0.25">
      <c r="A171" s="9" t="s">
        <v>322</v>
      </c>
      <c r="B171" s="10" t="s">
        <v>323</v>
      </c>
      <c r="C171" s="14" t="s">
        <v>90</v>
      </c>
      <c r="D171" s="12">
        <v>993</v>
      </c>
      <c r="E171" s="15">
        <v>12.1</v>
      </c>
      <c r="F171" s="13">
        <f t="shared" si="18"/>
        <v>12015.3</v>
      </c>
      <c r="G171" s="16" t="s">
        <v>14</v>
      </c>
    </row>
    <row r="172" spans="1:7" ht="47.25" x14ac:dyDescent="0.25">
      <c r="A172" s="9" t="s">
        <v>324</v>
      </c>
      <c r="B172" s="10" t="s">
        <v>325</v>
      </c>
      <c r="C172" s="14" t="s">
        <v>44</v>
      </c>
      <c r="D172" s="12">
        <v>177</v>
      </c>
      <c r="E172" s="15">
        <v>26.9</v>
      </c>
      <c r="F172" s="13">
        <f t="shared" si="18"/>
        <v>4761.3</v>
      </c>
      <c r="G172" s="16" t="s">
        <v>14</v>
      </c>
    </row>
    <row r="173" spans="1:7" ht="31.5" x14ac:dyDescent="0.25">
      <c r="A173" s="9" t="s">
        <v>326</v>
      </c>
      <c r="B173" s="10" t="s">
        <v>327</v>
      </c>
      <c r="C173" s="14" t="s">
        <v>90</v>
      </c>
      <c r="D173" s="12">
        <v>35</v>
      </c>
      <c r="E173" s="15">
        <v>134</v>
      </c>
      <c r="F173" s="13">
        <f>5*ROUND(D173*E173/5,2)</f>
        <v>4690</v>
      </c>
      <c r="G173" s="16" t="s">
        <v>14</v>
      </c>
    </row>
    <row r="174" spans="1:7" x14ac:dyDescent="0.25">
      <c r="A174" s="9" t="s">
        <v>328</v>
      </c>
      <c r="B174" s="10" t="s">
        <v>329</v>
      </c>
      <c r="C174" s="11"/>
      <c r="D174" s="12"/>
      <c r="E174" s="15"/>
      <c r="F174" s="13"/>
      <c r="G174" s="11"/>
    </row>
    <row r="175" spans="1:7" ht="47.25" x14ac:dyDescent="0.25">
      <c r="A175" s="9" t="s">
        <v>330</v>
      </c>
      <c r="B175" s="10" t="s">
        <v>331</v>
      </c>
      <c r="C175" s="14" t="s">
        <v>44</v>
      </c>
      <c r="D175" s="27">
        <v>9000</v>
      </c>
      <c r="E175" s="15">
        <v>0.9</v>
      </c>
      <c r="F175" s="13">
        <f t="shared" ref="F175:F176" si="19">5*ROUND(D175*E175/5,2)</f>
        <v>8100</v>
      </c>
      <c r="G175" s="16" t="s">
        <v>14</v>
      </c>
    </row>
    <row r="176" spans="1:7" ht="31.5" x14ac:dyDescent="0.25">
      <c r="A176" s="9" t="s">
        <v>332</v>
      </c>
      <c r="B176" s="10" t="s">
        <v>333</v>
      </c>
      <c r="C176" s="14" t="s">
        <v>44</v>
      </c>
      <c r="D176" s="27">
        <v>9000</v>
      </c>
      <c r="E176" s="15">
        <v>2.2999999999999998</v>
      </c>
      <c r="F176" s="13">
        <f t="shared" si="19"/>
        <v>20700</v>
      </c>
      <c r="G176" s="16" t="s">
        <v>14</v>
      </c>
    </row>
    <row r="177" spans="1:7" ht="30" customHeight="1" x14ac:dyDescent="0.25">
      <c r="A177" s="5" t="s">
        <v>73</v>
      </c>
      <c r="B177" s="6" t="s">
        <v>334</v>
      </c>
      <c r="C177" s="7"/>
      <c r="D177" s="7"/>
      <c r="E177" s="8"/>
      <c r="F177" s="17">
        <f>SUM(F164:F176)</f>
        <v>333987.59999999998</v>
      </c>
      <c r="G177" s="18"/>
    </row>
    <row r="178" spans="1:7" x14ac:dyDescent="0.25">
      <c r="A178" s="50"/>
      <c r="B178" s="51"/>
      <c r="C178" s="51"/>
      <c r="D178" s="51"/>
      <c r="E178" s="51"/>
      <c r="F178" s="51"/>
      <c r="G178" s="52"/>
    </row>
    <row r="179" spans="1:7" x14ac:dyDescent="0.25">
      <c r="A179" s="5" t="s">
        <v>335</v>
      </c>
      <c r="B179" s="6" t="s">
        <v>336</v>
      </c>
      <c r="C179" s="7"/>
      <c r="D179" s="7"/>
      <c r="E179" s="7"/>
      <c r="F179" s="7"/>
      <c r="G179" s="8"/>
    </row>
    <row r="180" spans="1:7" x14ac:dyDescent="0.25">
      <c r="A180" s="9" t="s">
        <v>337</v>
      </c>
      <c r="B180" s="10" t="s">
        <v>338</v>
      </c>
      <c r="C180" s="11"/>
      <c r="D180" s="12"/>
      <c r="E180" s="13"/>
      <c r="F180" s="13"/>
      <c r="G180" s="11"/>
    </row>
    <row r="181" spans="1:7" ht="47.25" x14ac:dyDescent="0.25">
      <c r="A181" s="9" t="s">
        <v>339</v>
      </c>
      <c r="B181" s="10" t="s">
        <v>340</v>
      </c>
      <c r="C181" s="14" t="s">
        <v>44</v>
      </c>
      <c r="D181" s="27">
        <v>9000</v>
      </c>
      <c r="E181" s="15">
        <v>1.2</v>
      </c>
      <c r="F181" s="13">
        <f t="shared" ref="F181:F183" si="20">5*ROUND(D181*E181/5,2)</f>
        <v>10800</v>
      </c>
      <c r="G181" s="16" t="s">
        <v>14</v>
      </c>
    </row>
    <row r="182" spans="1:7" ht="31.5" x14ac:dyDescent="0.25">
      <c r="A182" s="9" t="s">
        <v>341</v>
      </c>
      <c r="B182" s="10" t="s">
        <v>342</v>
      </c>
      <c r="C182" s="14" t="s">
        <v>44</v>
      </c>
      <c r="D182" s="27">
        <v>9000</v>
      </c>
      <c r="E182" s="15">
        <v>0.55000000000000004</v>
      </c>
      <c r="F182" s="13">
        <f t="shared" si="20"/>
        <v>4950</v>
      </c>
      <c r="G182" s="16" t="s">
        <v>14</v>
      </c>
    </row>
    <row r="183" spans="1:7" ht="31.5" x14ac:dyDescent="0.25">
      <c r="A183" s="9" t="s">
        <v>341</v>
      </c>
      <c r="B183" s="10" t="s">
        <v>343</v>
      </c>
      <c r="C183" s="14" t="s">
        <v>44</v>
      </c>
      <c r="D183" s="27">
        <v>9000</v>
      </c>
      <c r="E183" s="15">
        <v>0.9</v>
      </c>
      <c r="F183" s="13">
        <f t="shared" si="20"/>
        <v>8100</v>
      </c>
      <c r="G183" s="16" t="s">
        <v>14</v>
      </c>
    </row>
    <row r="184" spans="1:7" x14ac:dyDescent="0.25">
      <c r="A184" s="9" t="s">
        <v>344</v>
      </c>
      <c r="B184" s="10" t="s">
        <v>345</v>
      </c>
      <c r="C184" s="11"/>
      <c r="D184" s="12"/>
      <c r="E184" s="15"/>
      <c r="F184" s="13"/>
      <c r="G184" s="11"/>
    </row>
    <row r="185" spans="1:7" x14ac:dyDescent="0.25">
      <c r="A185" s="9" t="s">
        <v>346</v>
      </c>
      <c r="B185" s="10" t="s">
        <v>347</v>
      </c>
      <c r="C185" s="14" t="s">
        <v>40</v>
      </c>
      <c r="D185" s="27">
        <f>11+3</f>
        <v>14</v>
      </c>
      <c r="E185" s="15">
        <v>2643</v>
      </c>
      <c r="F185" s="13">
        <f t="shared" ref="F185:F199" si="21">5*ROUND(D185*E185/5,2)</f>
        <v>37002</v>
      </c>
      <c r="G185" s="16" t="s">
        <v>14</v>
      </c>
    </row>
    <row r="186" spans="1:7" x14ac:dyDescent="0.25">
      <c r="A186" s="9" t="s">
        <v>348</v>
      </c>
      <c r="B186" s="10" t="s">
        <v>349</v>
      </c>
      <c r="C186" s="14" t="s">
        <v>40</v>
      </c>
      <c r="D186" s="27">
        <f>4+2</f>
        <v>6</v>
      </c>
      <c r="E186" s="15">
        <v>4660</v>
      </c>
      <c r="F186" s="13">
        <f t="shared" si="21"/>
        <v>27960</v>
      </c>
      <c r="G186" s="16" t="s">
        <v>14</v>
      </c>
    </row>
    <row r="187" spans="1:7" x14ac:dyDescent="0.25">
      <c r="A187" s="9" t="s">
        <v>350</v>
      </c>
      <c r="B187" s="10" t="s">
        <v>351</v>
      </c>
      <c r="C187" s="14" t="s">
        <v>40</v>
      </c>
      <c r="D187" s="27">
        <f>6+2</f>
        <v>8</v>
      </c>
      <c r="E187" s="15">
        <v>2460</v>
      </c>
      <c r="F187" s="13">
        <f t="shared" si="21"/>
        <v>19680</v>
      </c>
      <c r="G187" s="16" t="s">
        <v>14</v>
      </c>
    </row>
    <row r="188" spans="1:7" x14ac:dyDescent="0.25">
      <c r="A188" s="9" t="s">
        <v>352</v>
      </c>
      <c r="B188" s="10" t="s">
        <v>353</v>
      </c>
      <c r="C188" s="14" t="s">
        <v>40</v>
      </c>
      <c r="D188" s="27">
        <f>6+4</f>
        <v>10</v>
      </c>
      <c r="E188" s="15">
        <v>932</v>
      </c>
      <c r="F188" s="13">
        <f t="shared" si="21"/>
        <v>9320</v>
      </c>
      <c r="G188" s="16" t="s">
        <v>14</v>
      </c>
    </row>
    <row r="189" spans="1:7" x14ac:dyDescent="0.25">
      <c r="A189" s="9" t="s">
        <v>354</v>
      </c>
      <c r="B189" s="10" t="s">
        <v>355</v>
      </c>
      <c r="C189" s="14" t="s">
        <v>40</v>
      </c>
      <c r="D189" s="27">
        <f>9+3</f>
        <v>12</v>
      </c>
      <c r="E189" s="15">
        <v>195</v>
      </c>
      <c r="F189" s="13">
        <f t="shared" si="21"/>
        <v>2340</v>
      </c>
      <c r="G189" s="16" t="s">
        <v>14</v>
      </c>
    </row>
    <row r="190" spans="1:7" x14ac:dyDescent="0.25">
      <c r="A190" s="9" t="s">
        <v>356</v>
      </c>
      <c r="B190" s="10" t="s">
        <v>357</v>
      </c>
      <c r="C190" s="14" t="s">
        <v>40</v>
      </c>
      <c r="D190" s="27">
        <f>3+2</f>
        <v>5</v>
      </c>
      <c r="E190" s="15">
        <v>1368</v>
      </c>
      <c r="F190" s="13">
        <f t="shared" si="21"/>
        <v>6840</v>
      </c>
      <c r="G190" s="16" t="s">
        <v>14</v>
      </c>
    </row>
    <row r="191" spans="1:7" x14ac:dyDescent="0.25">
      <c r="A191" s="9" t="s">
        <v>358</v>
      </c>
      <c r="B191" s="10" t="s">
        <v>359</v>
      </c>
      <c r="C191" s="14" t="s">
        <v>40</v>
      </c>
      <c r="D191" s="27">
        <f>4+2</f>
        <v>6</v>
      </c>
      <c r="E191" s="15">
        <v>413</v>
      </c>
      <c r="F191" s="13">
        <f t="shared" si="21"/>
        <v>2478</v>
      </c>
      <c r="G191" s="16" t="s">
        <v>14</v>
      </c>
    </row>
    <row r="192" spans="1:7" x14ac:dyDescent="0.25">
      <c r="A192" s="9" t="s">
        <v>360</v>
      </c>
      <c r="B192" s="10" t="s">
        <v>361</v>
      </c>
      <c r="C192" s="14" t="s">
        <v>40</v>
      </c>
      <c r="D192" s="27">
        <f>11+5+7</f>
        <v>23</v>
      </c>
      <c r="E192" s="15">
        <v>513</v>
      </c>
      <c r="F192" s="13">
        <f t="shared" si="21"/>
        <v>11799</v>
      </c>
      <c r="G192" s="16" t="s">
        <v>14</v>
      </c>
    </row>
    <row r="193" spans="1:7" x14ac:dyDescent="0.25">
      <c r="A193" s="9" t="s">
        <v>362</v>
      </c>
      <c r="B193" s="10" t="s">
        <v>363</v>
      </c>
      <c r="C193" s="14" t="s">
        <v>40</v>
      </c>
      <c r="D193" s="27">
        <f>7</f>
        <v>7</v>
      </c>
      <c r="E193" s="15">
        <v>1829</v>
      </c>
      <c r="F193" s="13">
        <f t="shared" si="21"/>
        <v>12803</v>
      </c>
      <c r="G193" s="16" t="s">
        <v>14</v>
      </c>
    </row>
    <row r="194" spans="1:7" x14ac:dyDescent="0.25">
      <c r="A194" s="9" t="s">
        <v>364</v>
      </c>
      <c r="B194" s="10" t="s">
        <v>365</v>
      </c>
      <c r="C194" s="14" t="s">
        <v>40</v>
      </c>
      <c r="D194" s="27">
        <f>13+4</f>
        <v>17</v>
      </c>
      <c r="E194" s="15">
        <v>260</v>
      </c>
      <c r="F194" s="13">
        <f t="shared" si="21"/>
        <v>4420</v>
      </c>
      <c r="G194" s="16" t="s">
        <v>14</v>
      </c>
    </row>
    <row r="195" spans="1:7" x14ac:dyDescent="0.25">
      <c r="A195" s="9" t="s">
        <v>366</v>
      </c>
      <c r="B195" s="10" t="s">
        <v>367</v>
      </c>
      <c r="C195" s="14" t="s">
        <v>40</v>
      </c>
      <c r="D195" s="27">
        <f>21+11</f>
        <v>32</v>
      </c>
      <c r="E195" s="15">
        <v>97.5</v>
      </c>
      <c r="F195" s="13">
        <f t="shared" si="21"/>
        <v>3120</v>
      </c>
      <c r="G195" s="16" t="s">
        <v>14</v>
      </c>
    </row>
    <row r="196" spans="1:7" x14ac:dyDescent="0.25">
      <c r="A196" s="9" t="s">
        <v>368</v>
      </c>
      <c r="B196" s="10" t="s">
        <v>369</v>
      </c>
      <c r="C196" s="14" t="s">
        <v>40</v>
      </c>
      <c r="D196" s="27">
        <f>34+14</f>
        <v>48</v>
      </c>
      <c r="E196" s="15">
        <v>86</v>
      </c>
      <c r="F196" s="13">
        <f t="shared" si="21"/>
        <v>4128</v>
      </c>
      <c r="G196" s="16" t="s">
        <v>14</v>
      </c>
    </row>
    <row r="197" spans="1:7" x14ac:dyDescent="0.25">
      <c r="A197" s="9" t="s">
        <v>370</v>
      </c>
      <c r="B197" s="10" t="s">
        <v>371</v>
      </c>
      <c r="C197" s="14" t="s">
        <v>40</v>
      </c>
      <c r="D197" s="27">
        <f>18+24+7+10+14</f>
        <v>73</v>
      </c>
      <c r="E197" s="15">
        <v>70</v>
      </c>
      <c r="F197" s="13">
        <f t="shared" si="21"/>
        <v>5110</v>
      </c>
      <c r="G197" s="16" t="s">
        <v>14</v>
      </c>
    </row>
    <row r="198" spans="1:7" x14ac:dyDescent="0.25">
      <c r="A198" s="9" t="s">
        <v>372</v>
      </c>
      <c r="B198" s="10" t="s">
        <v>373</v>
      </c>
      <c r="C198" s="14" t="s">
        <v>40</v>
      </c>
      <c r="D198" s="27">
        <f>9</f>
        <v>9</v>
      </c>
      <c r="E198" s="15">
        <v>431</v>
      </c>
      <c r="F198" s="13">
        <f t="shared" si="21"/>
        <v>3879</v>
      </c>
      <c r="G198" s="16" t="s">
        <v>14</v>
      </c>
    </row>
    <row r="199" spans="1:7" ht="47.25" x14ac:dyDescent="0.25">
      <c r="A199" s="9" t="s">
        <v>374</v>
      </c>
      <c r="B199" s="10" t="s">
        <v>375</v>
      </c>
      <c r="C199" s="14" t="s">
        <v>40</v>
      </c>
      <c r="D199" s="27">
        <f>242</f>
        <v>242</v>
      </c>
      <c r="E199" s="15">
        <v>215</v>
      </c>
      <c r="F199" s="13">
        <f t="shared" si="21"/>
        <v>52030</v>
      </c>
      <c r="G199" s="16" t="s">
        <v>14</v>
      </c>
    </row>
    <row r="200" spans="1:7" x14ac:dyDescent="0.25">
      <c r="A200" s="9" t="s">
        <v>376</v>
      </c>
      <c r="B200" s="10" t="s">
        <v>377</v>
      </c>
      <c r="C200" s="11"/>
      <c r="D200" s="12"/>
      <c r="E200" s="15"/>
      <c r="F200" s="13"/>
      <c r="G200" s="11"/>
    </row>
    <row r="201" spans="1:7" ht="78.75" x14ac:dyDescent="0.25">
      <c r="A201" s="9" t="s">
        <v>378</v>
      </c>
      <c r="B201" s="10" t="s">
        <v>379</v>
      </c>
      <c r="C201" s="11"/>
      <c r="D201" s="12"/>
      <c r="E201" s="15"/>
      <c r="F201" s="13"/>
      <c r="G201" s="11"/>
    </row>
    <row r="202" spans="1:7" x14ac:dyDescent="0.25">
      <c r="A202" s="9" t="s">
        <v>380</v>
      </c>
      <c r="B202" s="10" t="s">
        <v>381</v>
      </c>
      <c r="C202" s="14" t="s">
        <v>40</v>
      </c>
      <c r="D202" s="12">
        <v>17</v>
      </c>
      <c r="E202" s="15">
        <v>949</v>
      </c>
      <c r="F202" s="13">
        <f t="shared" ref="F202:F210" si="22">5*ROUND(D202*E202/5,2)</f>
        <v>16133</v>
      </c>
      <c r="G202" s="16" t="s">
        <v>14</v>
      </c>
    </row>
    <row r="203" spans="1:7" x14ac:dyDescent="0.25">
      <c r="A203" s="9" t="s">
        <v>382</v>
      </c>
      <c r="B203" s="10" t="s">
        <v>383</v>
      </c>
      <c r="C203" s="14" t="s">
        <v>40</v>
      </c>
      <c r="D203" s="12">
        <v>27</v>
      </c>
      <c r="E203" s="15">
        <v>909</v>
      </c>
      <c r="F203" s="13">
        <f t="shared" si="22"/>
        <v>24543</v>
      </c>
      <c r="G203" s="16" t="s">
        <v>14</v>
      </c>
    </row>
    <row r="204" spans="1:7" x14ac:dyDescent="0.25">
      <c r="A204" s="9" t="s">
        <v>384</v>
      </c>
      <c r="B204" s="10" t="s">
        <v>385</v>
      </c>
      <c r="C204" s="14" t="s">
        <v>40</v>
      </c>
      <c r="D204" s="12">
        <v>39</v>
      </c>
      <c r="E204" s="15">
        <v>869</v>
      </c>
      <c r="F204" s="13">
        <f t="shared" si="22"/>
        <v>33891</v>
      </c>
      <c r="G204" s="16" t="s">
        <v>14</v>
      </c>
    </row>
    <row r="205" spans="1:7" x14ac:dyDescent="0.25">
      <c r="A205" s="9" t="s">
        <v>386</v>
      </c>
      <c r="B205" s="10" t="s">
        <v>387</v>
      </c>
      <c r="C205" s="14" t="s">
        <v>40</v>
      </c>
      <c r="D205" s="12">
        <v>9</v>
      </c>
      <c r="E205" s="15">
        <v>507</v>
      </c>
      <c r="F205" s="13">
        <f t="shared" si="22"/>
        <v>4563</v>
      </c>
      <c r="G205" s="16" t="s">
        <v>14</v>
      </c>
    </row>
    <row r="206" spans="1:7" x14ac:dyDescent="0.25">
      <c r="A206" s="9" t="s">
        <v>388</v>
      </c>
      <c r="B206" s="10" t="s">
        <v>389</v>
      </c>
      <c r="C206" s="14" t="s">
        <v>40</v>
      </c>
      <c r="D206" s="12">
        <v>43</v>
      </c>
      <c r="E206" s="15">
        <v>370</v>
      </c>
      <c r="F206" s="13">
        <f t="shared" si="22"/>
        <v>15910</v>
      </c>
      <c r="G206" s="16" t="s">
        <v>14</v>
      </c>
    </row>
    <row r="207" spans="1:7" x14ac:dyDescent="0.25">
      <c r="A207" s="9" t="s">
        <v>390</v>
      </c>
      <c r="B207" s="10" t="s">
        <v>391</v>
      </c>
      <c r="C207" s="14" t="s">
        <v>40</v>
      </c>
      <c r="D207" s="12">
        <v>17</v>
      </c>
      <c r="E207" s="15">
        <v>241</v>
      </c>
      <c r="F207" s="13">
        <f t="shared" si="22"/>
        <v>4097</v>
      </c>
      <c r="G207" s="16" t="s">
        <v>14</v>
      </c>
    </row>
    <row r="208" spans="1:7" x14ac:dyDescent="0.25">
      <c r="A208" s="9" t="s">
        <v>392</v>
      </c>
      <c r="B208" s="10" t="s">
        <v>373</v>
      </c>
      <c r="C208" s="14" t="s">
        <v>40</v>
      </c>
      <c r="D208" s="12">
        <v>17</v>
      </c>
      <c r="E208" s="15">
        <v>370</v>
      </c>
      <c r="F208" s="13">
        <f t="shared" si="22"/>
        <v>6290</v>
      </c>
      <c r="G208" s="16" t="s">
        <v>14</v>
      </c>
    </row>
    <row r="209" spans="1:9" x14ac:dyDescent="0.25">
      <c r="A209" s="9" t="s">
        <v>393</v>
      </c>
      <c r="B209" s="10" t="s">
        <v>394</v>
      </c>
      <c r="C209" s="14" t="s">
        <v>40</v>
      </c>
      <c r="D209" s="12">
        <v>117</v>
      </c>
      <c r="E209" s="15">
        <v>33</v>
      </c>
      <c r="F209" s="13">
        <f t="shared" si="22"/>
        <v>3861</v>
      </c>
      <c r="G209" s="16" t="s">
        <v>14</v>
      </c>
    </row>
    <row r="210" spans="1:9" x14ac:dyDescent="0.25">
      <c r="A210" s="9" t="s">
        <v>393</v>
      </c>
      <c r="B210" s="10" t="s">
        <v>395</v>
      </c>
      <c r="C210" s="14" t="s">
        <v>40</v>
      </c>
      <c r="D210" s="12">
        <v>86</v>
      </c>
      <c r="E210" s="15">
        <v>33</v>
      </c>
      <c r="F210" s="13">
        <f t="shared" si="22"/>
        <v>2838</v>
      </c>
      <c r="G210" s="16" t="s">
        <v>14</v>
      </c>
    </row>
    <row r="211" spans="1:9" x14ac:dyDescent="0.25">
      <c r="A211" s="9" t="s">
        <v>396</v>
      </c>
      <c r="B211" s="10" t="s">
        <v>397</v>
      </c>
      <c r="C211" s="11"/>
      <c r="D211" s="12"/>
      <c r="E211" s="15"/>
      <c r="F211" s="13"/>
      <c r="G211" s="11"/>
    </row>
    <row r="212" spans="1:9" ht="31.5" x14ac:dyDescent="0.25">
      <c r="A212" s="9" t="s">
        <v>398</v>
      </c>
      <c r="B212" s="10" t="s">
        <v>399</v>
      </c>
      <c r="C212" s="14" t="s">
        <v>44</v>
      </c>
      <c r="D212" s="12">
        <v>2605</v>
      </c>
      <c r="E212" s="15">
        <v>6.25</v>
      </c>
      <c r="F212" s="13">
        <f t="shared" ref="F212:F218" si="23">5*ROUND(D212*E212/5,2)</f>
        <v>16281.25</v>
      </c>
      <c r="G212" s="16" t="s">
        <v>14</v>
      </c>
    </row>
    <row r="213" spans="1:9" ht="31.5" x14ac:dyDescent="0.25">
      <c r="A213" s="9" t="s">
        <v>400</v>
      </c>
      <c r="B213" s="10" t="s">
        <v>401</v>
      </c>
      <c r="C213" s="14" t="s">
        <v>40</v>
      </c>
      <c r="D213" s="12">
        <v>43</v>
      </c>
      <c r="E213" s="15">
        <v>127</v>
      </c>
      <c r="F213" s="13">
        <f t="shared" si="23"/>
        <v>5461</v>
      </c>
      <c r="G213" s="16" t="s">
        <v>14</v>
      </c>
    </row>
    <row r="214" spans="1:9" ht="31.5" x14ac:dyDescent="0.25">
      <c r="A214" s="9" t="s">
        <v>400</v>
      </c>
      <c r="B214" s="10" t="s">
        <v>402</v>
      </c>
      <c r="C214" s="14" t="s">
        <v>40</v>
      </c>
      <c r="D214" s="12">
        <v>48</v>
      </c>
      <c r="E214" s="15">
        <v>180</v>
      </c>
      <c r="F214" s="13">
        <f t="shared" si="23"/>
        <v>8640</v>
      </c>
      <c r="G214" s="16" t="s">
        <v>14</v>
      </c>
    </row>
    <row r="215" spans="1:9" ht="31.5" x14ac:dyDescent="0.25">
      <c r="A215" s="9" t="s">
        <v>400</v>
      </c>
      <c r="B215" s="10" t="s">
        <v>403</v>
      </c>
      <c r="C215" s="14" t="s">
        <v>40</v>
      </c>
      <c r="D215" s="12">
        <v>44</v>
      </c>
      <c r="E215" s="15">
        <v>312</v>
      </c>
      <c r="F215" s="13">
        <f t="shared" si="23"/>
        <v>13728</v>
      </c>
      <c r="G215" s="16" t="s">
        <v>14</v>
      </c>
    </row>
    <row r="216" spans="1:9" ht="31.5" x14ac:dyDescent="0.25">
      <c r="A216" s="9" t="s">
        <v>400</v>
      </c>
      <c r="B216" s="10" t="s">
        <v>404</v>
      </c>
      <c r="C216" s="14" t="s">
        <v>145</v>
      </c>
      <c r="D216" s="12">
        <v>44</v>
      </c>
      <c r="E216" s="15">
        <v>239</v>
      </c>
      <c r="F216" s="13">
        <f t="shared" si="23"/>
        <v>10516</v>
      </c>
      <c r="G216" s="16" t="s">
        <v>14</v>
      </c>
    </row>
    <row r="217" spans="1:9" ht="31.5" x14ac:dyDescent="0.25">
      <c r="A217" s="9" t="s">
        <v>405</v>
      </c>
      <c r="B217" s="10" t="s">
        <v>406</v>
      </c>
      <c r="C217" s="14" t="s">
        <v>145</v>
      </c>
      <c r="D217" s="12">
        <v>17</v>
      </c>
      <c r="E217" s="15">
        <v>165</v>
      </c>
      <c r="F217" s="13">
        <f t="shared" si="23"/>
        <v>2805</v>
      </c>
      <c r="G217" s="16" t="s">
        <v>14</v>
      </c>
    </row>
    <row r="218" spans="1:9" ht="31.5" x14ac:dyDescent="0.25">
      <c r="A218" s="9" t="s">
        <v>398</v>
      </c>
      <c r="B218" s="10" t="s">
        <v>407</v>
      </c>
      <c r="C218" s="14" t="s">
        <v>145</v>
      </c>
      <c r="D218" s="12">
        <v>134</v>
      </c>
      <c r="E218" s="15">
        <v>55</v>
      </c>
      <c r="F218" s="13">
        <f t="shared" si="23"/>
        <v>7370</v>
      </c>
      <c r="G218" s="16" t="s">
        <v>14</v>
      </c>
    </row>
    <row r="219" spans="1:9" x14ac:dyDescent="0.25">
      <c r="A219" s="35" t="s">
        <v>408</v>
      </c>
      <c r="B219" s="36" t="s">
        <v>409</v>
      </c>
      <c r="C219" s="37"/>
      <c r="D219" s="38"/>
      <c r="E219" s="39"/>
      <c r="F219" s="43">
        <f>SUM(F220:F233)</f>
        <v>58611</v>
      </c>
      <c r="G219" s="37"/>
    </row>
    <row r="220" spans="1:9" x14ac:dyDescent="0.25">
      <c r="A220" s="35" t="s">
        <v>410</v>
      </c>
      <c r="B220" s="36" t="s">
        <v>411</v>
      </c>
      <c r="C220" s="37"/>
      <c r="D220" s="38"/>
      <c r="E220" s="39"/>
      <c r="F220" s="40"/>
      <c r="G220" s="37"/>
    </row>
    <row r="221" spans="1:9" ht="31.5" x14ac:dyDescent="0.25">
      <c r="A221" s="35" t="s">
        <v>412</v>
      </c>
      <c r="B221" s="36" t="s">
        <v>413</v>
      </c>
      <c r="C221" s="41" t="s">
        <v>414</v>
      </c>
      <c r="D221" s="38">
        <v>6</v>
      </c>
      <c r="E221" s="39">
        <v>480</v>
      </c>
      <c r="F221" s="40">
        <f t="shared" ref="F221:F225" si="24">5*ROUND(D221*E221/5,2)</f>
        <v>2880</v>
      </c>
      <c r="G221" s="42" t="s">
        <v>14</v>
      </c>
      <c r="I221" s="48"/>
    </row>
    <row r="222" spans="1:9" ht="31.5" x14ac:dyDescent="0.25">
      <c r="A222" s="35" t="s">
        <v>415</v>
      </c>
      <c r="B222" s="36" t="s">
        <v>416</v>
      </c>
      <c r="C222" s="41" t="s">
        <v>414</v>
      </c>
      <c r="D222" s="38">
        <v>4</v>
      </c>
      <c r="E222" s="39">
        <v>960</v>
      </c>
      <c r="F222" s="40">
        <f t="shared" si="24"/>
        <v>3840</v>
      </c>
      <c r="G222" s="42" t="s">
        <v>14</v>
      </c>
    </row>
    <row r="223" spans="1:9" ht="31.5" x14ac:dyDescent="0.25">
      <c r="A223" s="35" t="s">
        <v>417</v>
      </c>
      <c r="B223" s="36" t="s">
        <v>418</v>
      </c>
      <c r="C223" s="41" t="s">
        <v>414</v>
      </c>
      <c r="D223" s="38">
        <v>2</v>
      </c>
      <c r="E223" s="39">
        <v>320</v>
      </c>
      <c r="F223" s="40">
        <f t="shared" si="24"/>
        <v>640</v>
      </c>
      <c r="G223" s="42" t="s">
        <v>14</v>
      </c>
    </row>
    <row r="224" spans="1:9" ht="31.5" x14ac:dyDescent="0.25">
      <c r="A224" s="35" t="s">
        <v>419</v>
      </c>
      <c r="B224" s="36" t="s">
        <v>420</v>
      </c>
      <c r="C224" s="41" t="s">
        <v>414</v>
      </c>
      <c r="D224" s="38">
        <v>12</v>
      </c>
      <c r="E224" s="39">
        <v>527</v>
      </c>
      <c r="F224" s="40">
        <f t="shared" si="24"/>
        <v>6324</v>
      </c>
      <c r="G224" s="42" t="s">
        <v>14</v>
      </c>
    </row>
    <row r="225" spans="1:7" ht="31.5" x14ac:dyDescent="0.25">
      <c r="A225" s="35" t="s">
        <v>421</v>
      </c>
      <c r="B225" s="36" t="s">
        <v>422</v>
      </c>
      <c r="C225" s="41" t="s">
        <v>414</v>
      </c>
      <c r="D225" s="38">
        <v>1</v>
      </c>
      <c r="E225" s="39">
        <v>1280</v>
      </c>
      <c r="F225" s="40">
        <f t="shared" si="24"/>
        <v>1280</v>
      </c>
      <c r="G225" s="42" t="s">
        <v>14</v>
      </c>
    </row>
    <row r="226" spans="1:7" x14ac:dyDescent="0.25">
      <c r="A226" s="35" t="s">
        <v>423</v>
      </c>
      <c r="B226" s="36" t="s">
        <v>424</v>
      </c>
      <c r="C226" s="37"/>
      <c r="D226" s="38"/>
      <c r="E226" s="39"/>
      <c r="F226" s="40"/>
      <c r="G226" s="37"/>
    </row>
    <row r="227" spans="1:7" ht="31.5" x14ac:dyDescent="0.25">
      <c r="A227" s="35" t="s">
        <v>425</v>
      </c>
      <c r="B227" s="36" t="s">
        <v>426</v>
      </c>
      <c r="C227" s="41" t="s">
        <v>414</v>
      </c>
      <c r="D227" s="38">
        <v>8</v>
      </c>
      <c r="E227" s="39">
        <v>1680</v>
      </c>
      <c r="F227" s="40">
        <f t="shared" ref="F227:F229" si="25">5*ROUND(D227*E227/5,2)</f>
        <v>13440</v>
      </c>
      <c r="G227" s="42" t="s">
        <v>14</v>
      </c>
    </row>
    <row r="228" spans="1:7" ht="31.5" x14ac:dyDescent="0.25">
      <c r="A228" s="35" t="s">
        <v>427</v>
      </c>
      <c r="B228" s="36" t="s">
        <v>420</v>
      </c>
      <c r="C228" s="41" t="s">
        <v>414</v>
      </c>
      <c r="D228" s="38">
        <v>12</v>
      </c>
      <c r="E228" s="39">
        <v>283</v>
      </c>
      <c r="F228" s="40">
        <f t="shared" si="25"/>
        <v>3396</v>
      </c>
      <c r="G228" s="42" t="s">
        <v>14</v>
      </c>
    </row>
    <row r="229" spans="1:7" ht="31.5" x14ac:dyDescent="0.25">
      <c r="A229" s="35" t="s">
        <v>428</v>
      </c>
      <c r="B229" s="36" t="s">
        <v>422</v>
      </c>
      <c r="C229" s="41" t="s">
        <v>414</v>
      </c>
      <c r="D229" s="38">
        <v>1</v>
      </c>
      <c r="E229" s="39">
        <v>2559</v>
      </c>
      <c r="F229" s="40">
        <f t="shared" si="25"/>
        <v>2559</v>
      </c>
      <c r="G229" s="42" t="s">
        <v>14</v>
      </c>
    </row>
    <row r="230" spans="1:7" x14ac:dyDescent="0.25">
      <c r="A230" s="35" t="s">
        <v>429</v>
      </c>
      <c r="B230" s="36" t="s">
        <v>430</v>
      </c>
      <c r="C230" s="37"/>
      <c r="D230" s="38"/>
      <c r="E230" s="39"/>
      <c r="F230" s="40"/>
      <c r="G230" s="37"/>
    </row>
    <row r="231" spans="1:7" ht="63" x14ac:dyDescent="0.25">
      <c r="A231" s="35" t="s">
        <v>431</v>
      </c>
      <c r="B231" s="36" t="s">
        <v>432</v>
      </c>
      <c r="C231" s="41" t="s">
        <v>414</v>
      </c>
      <c r="D231" s="38">
        <v>12</v>
      </c>
      <c r="E231" s="39">
        <v>313</v>
      </c>
      <c r="F231" s="40">
        <f t="shared" ref="F231:F233" si="26">5*ROUND(D231*E231/5,2)</f>
        <v>3756</v>
      </c>
      <c r="G231" s="42" t="s">
        <v>14</v>
      </c>
    </row>
    <row r="232" spans="1:7" ht="47.25" x14ac:dyDescent="0.25">
      <c r="A232" s="35" t="s">
        <v>433</v>
      </c>
      <c r="B232" s="36" t="s">
        <v>434</v>
      </c>
      <c r="C232" s="41" t="s">
        <v>414</v>
      </c>
      <c r="D232" s="38">
        <v>2</v>
      </c>
      <c r="E232" s="39">
        <v>8328</v>
      </c>
      <c r="F232" s="40">
        <f t="shared" si="26"/>
        <v>16656</v>
      </c>
      <c r="G232" s="42" t="s">
        <v>14</v>
      </c>
    </row>
    <row r="233" spans="1:7" ht="31.5" x14ac:dyDescent="0.25">
      <c r="A233" s="35" t="s">
        <v>435</v>
      </c>
      <c r="B233" s="36" t="s">
        <v>436</v>
      </c>
      <c r="C233" s="41" t="s">
        <v>414</v>
      </c>
      <c r="D233" s="38">
        <v>4</v>
      </c>
      <c r="E233" s="39">
        <v>960</v>
      </c>
      <c r="F233" s="40">
        <f t="shared" si="26"/>
        <v>3840</v>
      </c>
      <c r="G233" s="42" t="s">
        <v>14</v>
      </c>
    </row>
    <row r="234" spans="1:7" x14ac:dyDescent="0.25">
      <c r="A234" s="5" t="s">
        <v>73</v>
      </c>
      <c r="B234" s="6" t="s">
        <v>437</v>
      </c>
      <c r="C234" s="7"/>
      <c r="D234" s="7"/>
      <c r="E234" s="8"/>
      <c r="F234" s="17">
        <f>SUM(F180:F218)</f>
        <v>403686.25</v>
      </c>
      <c r="G234" s="18"/>
    </row>
    <row r="235" spans="1:7" x14ac:dyDescent="0.25">
      <c r="A235" s="50"/>
      <c r="B235" s="51"/>
      <c r="C235" s="51"/>
      <c r="D235" s="51"/>
      <c r="E235" s="51"/>
      <c r="F235" s="51"/>
      <c r="G235" s="52"/>
    </row>
    <row r="236" spans="1:7" x14ac:dyDescent="0.25">
      <c r="A236" s="5" t="s">
        <v>438</v>
      </c>
      <c r="B236" s="6" t="s">
        <v>439</v>
      </c>
      <c r="C236" s="7"/>
      <c r="D236" s="7"/>
      <c r="E236" s="7"/>
      <c r="F236" s="7"/>
      <c r="G236" s="8"/>
    </row>
    <row r="237" spans="1:7" ht="31.5" x14ac:dyDescent="0.25">
      <c r="A237" s="9" t="s">
        <v>440</v>
      </c>
      <c r="B237" s="10" t="s">
        <v>441</v>
      </c>
      <c r="C237" s="14" t="s">
        <v>145</v>
      </c>
      <c r="D237" s="12">
        <v>2</v>
      </c>
      <c r="E237" s="15">
        <v>660</v>
      </c>
      <c r="F237" s="13">
        <f>5*ROUND(D237*E237/5,2)</f>
        <v>1320</v>
      </c>
      <c r="G237" s="16" t="s">
        <v>14</v>
      </c>
    </row>
    <row r="238" spans="1:7" x14ac:dyDescent="0.25">
      <c r="A238" s="5" t="s">
        <v>73</v>
      </c>
      <c r="B238" s="6" t="s">
        <v>442</v>
      </c>
      <c r="C238" s="7"/>
      <c r="D238" s="7"/>
      <c r="E238" s="8"/>
      <c r="F238" s="17">
        <f>SUM(F237)</f>
        <v>1320</v>
      </c>
      <c r="G238" s="18"/>
    </row>
    <row r="239" spans="1:7" x14ac:dyDescent="0.25">
      <c r="A239" s="50"/>
      <c r="B239" s="51"/>
      <c r="C239" s="51"/>
      <c r="D239" s="51"/>
      <c r="E239" s="51"/>
      <c r="F239" s="51"/>
      <c r="G239" s="52"/>
    </row>
    <row r="240" spans="1:7" x14ac:dyDescent="0.25">
      <c r="A240" s="5" t="s">
        <v>443</v>
      </c>
      <c r="B240" s="6" t="s">
        <v>444</v>
      </c>
      <c r="C240" s="7"/>
      <c r="D240" s="7"/>
      <c r="E240" s="7"/>
      <c r="F240" s="7"/>
      <c r="G240" s="8"/>
    </row>
    <row r="241" spans="1:7" x14ac:dyDescent="0.25">
      <c r="A241" s="9" t="s">
        <v>445</v>
      </c>
      <c r="B241" s="10" t="s">
        <v>446</v>
      </c>
      <c r="C241" s="11"/>
      <c r="D241" s="12"/>
      <c r="E241" s="13"/>
      <c r="F241" s="13"/>
      <c r="G241" s="11"/>
    </row>
    <row r="242" spans="1:7" ht="47.25" x14ac:dyDescent="0.25">
      <c r="A242" s="9" t="s">
        <v>447</v>
      </c>
      <c r="B242" s="10" t="s">
        <v>448</v>
      </c>
      <c r="C242" s="14" t="s">
        <v>449</v>
      </c>
      <c r="D242" s="12">
        <v>38</v>
      </c>
      <c r="E242" s="15">
        <v>100</v>
      </c>
      <c r="F242" s="13">
        <f t="shared" ref="F242:F244" si="27">5*ROUND(D242*E242/5,2)</f>
        <v>3800</v>
      </c>
      <c r="G242" s="16" t="s">
        <v>14</v>
      </c>
    </row>
    <row r="243" spans="1:7" ht="47.25" x14ac:dyDescent="0.25">
      <c r="A243" s="9" t="s">
        <v>447</v>
      </c>
      <c r="B243" s="10" t="s">
        <v>450</v>
      </c>
      <c r="C243" s="14" t="s">
        <v>449</v>
      </c>
      <c r="D243" s="12">
        <v>2</v>
      </c>
      <c r="E243" s="15">
        <v>460</v>
      </c>
      <c r="F243" s="13">
        <f t="shared" si="27"/>
        <v>920</v>
      </c>
      <c r="G243" s="16" t="s">
        <v>14</v>
      </c>
    </row>
    <row r="244" spans="1:7" ht="31.5" x14ac:dyDescent="0.25">
      <c r="A244" s="9" t="s">
        <v>447</v>
      </c>
      <c r="B244" s="10" t="s">
        <v>451</v>
      </c>
      <c r="C244" s="14" t="s">
        <v>449</v>
      </c>
      <c r="D244" s="12">
        <v>11</v>
      </c>
      <c r="E244" s="15">
        <v>145</v>
      </c>
      <c r="F244" s="13">
        <f t="shared" si="27"/>
        <v>1595</v>
      </c>
      <c r="G244" s="16" t="s">
        <v>14</v>
      </c>
    </row>
    <row r="245" spans="1:7" ht="31.5" x14ac:dyDescent="0.25">
      <c r="A245" s="44" t="s">
        <v>447</v>
      </c>
      <c r="B245" s="32" t="s">
        <v>452</v>
      </c>
      <c r="C245" s="33" t="s">
        <v>449</v>
      </c>
      <c r="D245" s="34">
        <v>1</v>
      </c>
      <c r="E245" s="15">
        <v>920</v>
      </c>
      <c r="F245" s="28">
        <v>0</v>
      </c>
      <c r="G245" s="16" t="s">
        <v>14</v>
      </c>
    </row>
    <row r="246" spans="1:7" x14ac:dyDescent="0.25">
      <c r="A246" s="9" t="s">
        <v>453</v>
      </c>
      <c r="B246" s="10" t="s">
        <v>454</v>
      </c>
      <c r="C246" s="11"/>
      <c r="D246" s="12"/>
      <c r="E246" s="15"/>
      <c r="F246" s="13"/>
      <c r="G246" s="11"/>
    </row>
    <row r="247" spans="1:7" ht="110.25" x14ac:dyDescent="0.25">
      <c r="A247" s="44" t="s">
        <v>455</v>
      </c>
      <c r="B247" s="32" t="s">
        <v>456</v>
      </c>
      <c r="C247" s="33" t="s">
        <v>449</v>
      </c>
      <c r="D247" s="34">
        <v>2</v>
      </c>
      <c r="E247" s="15">
        <v>8532</v>
      </c>
      <c r="F247" s="28">
        <v>0</v>
      </c>
      <c r="G247" s="16" t="s">
        <v>14</v>
      </c>
    </row>
    <row r="248" spans="1:7" x14ac:dyDescent="0.25">
      <c r="A248" s="9" t="s">
        <v>457</v>
      </c>
      <c r="B248" s="10" t="s">
        <v>458</v>
      </c>
      <c r="C248" s="11"/>
      <c r="D248" s="12"/>
      <c r="E248" s="15"/>
      <c r="F248" s="13"/>
      <c r="G248" s="11"/>
    </row>
    <row r="249" spans="1:7" ht="31.5" x14ac:dyDescent="0.25">
      <c r="A249" s="9" t="s">
        <v>459</v>
      </c>
      <c r="B249" s="10" t="s">
        <v>460</v>
      </c>
      <c r="C249" s="14" t="s">
        <v>40</v>
      </c>
      <c r="D249" s="12">
        <v>5</v>
      </c>
      <c r="E249" s="15">
        <v>1359</v>
      </c>
      <c r="F249" s="13">
        <f t="shared" ref="F249:F263" si="28">5*ROUND(D249*E249/5,2)</f>
        <v>6795</v>
      </c>
      <c r="G249" s="16" t="s">
        <v>14</v>
      </c>
    </row>
    <row r="250" spans="1:7" ht="47.25" x14ac:dyDescent="0.25">
      <c r="A250" s="9" t="s">
        <v>461</v>
      </c>
      <c r="B250" s="10" t="s">
        <v>462</v>
      </c>
      <c r="C250" s="14" t="s">
        <v>40</v>
      </c>
      <c r="D250" s="12">
        <v>2</v>
      </c>
      <c r="E250" s="15">
        <v>794</v>
      </c>
      <c r="F250" s="13">
        <f t="shared" si="28"/>
        <v>1588</v>
      </c>
      <c r="G250" s="16" t="s">
        <v>14</v>
      </c>
    </row>
    <row r="251" spans="1:7" ht="47.25" x14ac:dyDescent="0.25">
      <c r="A251" s="9" t="s">
        <v>463</v>
      </c>
      <c r="B251" s="10" t="s">
        <v>464</v>
      </c>
      <c r="C251" s="14" t="s">
        <v>40</v>
      </c>
      <c r="D251" s="12">
        <v>1</v>
      </c>
      <c r="E251" s="15">
        <v>892</v>
      </c>
      <c r="F251" s="13">
        <f t="shared" si="28"/>
        <v>892</v>
      </c>
      <c r="G251" s="16" t="s">
        <v>14</v>
      </c>
    </row>
    <row r="252" spans="1:7" ht="47.25" x14ac:dyDescent="0.25">
      <c r="A252" s="9" t="s">
        <v>465</v>
      </c>
      <c r="B252" s="10" t="s">
        <v>466</v>
      </c>
      <c r="C252" s="14" t="s">
        <v>40</v>
      </c>
      <c r="D252" s="12">
        <v>10</v>
      </c>
      <c r="E252" s="15">
        <v>1338</v>
      </c>
      <c r="F252" s="13">
        <f t="shared" si="28"/>
        <v>13380</v>
      </c>
      <c r="G252" s="16" t="s">
        <v>14</v>
      </c>
    </row>
    <row r="253" spans="1:7" ht="47.25" x14ac:dyDescent="0.25">
      <c r="A253" s="9" t="s">
        <v>467</v>
      </c>
      <c r="B253" s="10" t="s">
        <v>468</v>
      </c>
      <c r="C253" s="14" t="s">
        <v>40</v>
      </c>
      <c r="D253" s="12">
        <v>1</v>
      </c>
      <c r="E253" s="15">
        <v>2064</v>
      </c>
      <c r="F253" s="13">
        <f t="shared" si="28"/>
        <v>2064</v>
      </c>
      <c r="G253" s="16" t="s">
        <v>14</v>
      </c>
    </row>
    <row r="254" spans="1:7" ht="47.25" x14ac:dyDescent="0.25">
      <c r="A254" s="9" t="s">
        <v>469</v>
      </c>
      <c r="B254" s="10" t="s">
        <v>470</v>
      </c>
      <c r="C254" s="14" t="s">
        <v>40</v>
      </c>
      <c r="D254" s="12">
        <v>1</v>
      </c>
      <c r="E254" s="15">
        <v>2752</v>
      </c>
      <c r="F254" s="13">
        <f t="shared" si="28"/>
        <v>2752</v>
      </c>
      <c r="G254" s="16" t="s">
        <v>14</v>
      </c>
    </row>
    <row r="255" spans="1:7" ht="47.25" x14ac:dyDescent="0.25">
      <c r="A255" s="9" t="s">
        <v>471</v>
      </c>
      <c r="B255" s="10" t="s">
        <v>472</v>
      </c>
      <c r="C255" s="14" t="s">
        <v>40</v>
      </c>
      <c r="D255" s="12">
        <v>1</v>
      </c>
      <c r="E255" s="15">
        <v>3440</v>
      </c>
      <c r="F255" s="13">
        <f t="shared" si="28"/>
        <v>3440</v>
      </c>
      <c r="G255" s="16" t="s">
        <v>14</v>
      </c>
    </row>
    <row r="256" spans="1:7" ht="47.25" x14ac:dyDescent="0.25">
      <c r="A256" s="9" t="s">
        <v>473</v>
      </c>
      <c r="B256" s="10" t="s">
        <v>474</v>
      </c>
      <c r="C256" s="14" t="s">
        <v>40</v>
      </c>
      <c r="D256" s="12">
        <v>2</v>
      </c>
      <c r="E256" s="15">
        <v>4128</v>
      </c>
      <c r="F256" s="13">
        <f t="shared" si="28"/>
        <v>8256</v>
      </c>
      <c r="G256" s="16" t="s">
        <v>14</v>
      </c>
    </row>
    <row r="257" spans="1:8" ht="47.25" x14ac:dyDescent="0.25">
      <c r="A257" s="9" t="s">
        <v>475</v>
      </c>
      <c r="B257" s="10" t="s">
        <v>476</v>
      </c>
      <c r="C257" s="14" t="s">
        <v>40</v>
      </c>
      <c r="D257" s="12">
        <v>1</v>
      </c>
      <c r="E257" s="15">
        <v>4128</v>
      </c>
      <c r="F257" s="13">
        <f t="shared" si="28"/>
        <v>4128</v>
      </c>
      <c r="G257" s="16" t="s">
        <v>14</v>
      </c>
    </row>
    <row r="258" spans="1:8" ht="47.25" x14ac:dyDescent="0.25">
      <c r="A258" s="9" t="s">
        <v>477</v>
      </c>
      <c r="B258" s="10" t="s">
        <v>478</v>
      </c>
      <c r="C258" s="14" t="s">
        <v>40</v>
      </c>
      <c r="D258" s="12">
        <v>6</v>
      </c>
      <c r="E258" s="15">
        <v>6880</v>
      </c>
      <c r="F258" s="13">
        <f t="shared" si="28"/>
        <v>41280</v>
      </c>
      <c r="G258" s="16" t="s">
        <v>14</v>
      </c>
    </row>
    <row r="259" spans="1:8" ht="31.5" x14ac:dyDescent="0.25">
      <c r="A259" s="9" t="s">
        <v>479</v>
      </c>
      <c r="B259" s="10" t="s">
        <v>480</v>
      </c>
      <c r="C259" s="14" t="s">
        <v>40</v>
      </c>
      <c r="D259" s="12">
        <v>10</v>
      </c>
      <c r="E259" s="15">
        <v>773</v>
      </c>
      <c r="F259" s="13">
        <f t="shared" si="28"/>
        <v>7730</v>
      </c>
      <c r="G259" s="16" t="s">
        <v>14</v>
      </c>
    </row>
    <row r="260" spans="1:8" ht="47.25" x14ac:dyDescent="0.25">
      <c r="A260" s="9" t="s">
        <v>481</v>
      </c>
      <c r="B260" s="10" t="s">
        <v>482</v>
      </c>
      <c r="C260" s="14" t="s">
        <v>40</v>
      </c>
      <c r="D260" s="12">
        <v>3</v>
      </c>
      <c r="E260" s="15">
        <v>1369</v>
      </c>
      <c r="F260" s="13">
        <f t="shared" si="28"/>
        <v>4107</v>
      </c>
      <c r="G260" s="16" t="s">
        <v>14</v>
      </c>
    </row>
    <row r="261" spans="1:8" ht="47.25" x14ac:dyDescent="0.25">
      <c r="A261" s="9" t="s">
        <v>483</v>
      </c>
      <c r="B261" s="10" t="s">
        <v>484</v>
      </c>
      <c r="C261" s="14" t="s">
        <v>40</v>
      </c>
      <c r="D261" s="12">
        <v>1</v>
      </c>
      <c r="E261" s="15">
        <v>1815</v>
      </c>
      <c r="F261" s="13">
        <f t="shared" si="28"/>
        <v>1815</v>
      </c>
      <c r="G261" s="16" t="s">
        <v>14</v>
      </c>
    </row>
    <row r="262" spans="1:8" x14ac:dyDescent="0.25">
      <c r="A262" s="9" t="s">
        <v>485</v>
      </c>
      <c r="B262" s="10" t="s">
        <v>486</v>
      </c>
      <c r="C262" s="14"/>
      <c r="D262" s="12"/>
      <c r="E262" s="15"/>
      <c r="F262" s="13"/>
      <c r="G262" s="16"/>
    </row>
    <row r="263" spans="1:8" ht="31.5" x14ac:dyDescent="0.25">
      <c r="A263" s="9" t="s">
        <v>487</v>
      </c>
      <c r="B263" s="10" t="s">
        <v>488</v>
      </c>
      <c r="C263" s="14" t="s">
        <v>145</v>
      </c>
      <c r="D263" s="12">
        <v>4</v>
      </c>
      <c r="E263" s="15">
        <v>1948</v>
      </c>
      <c r="F263" s="13">
        <f t="shared" si="28"/>
        <v>7792</v>
      </c>
      <c r="G263" s="16" t="s">
        <v>14</v>
      </c>
    </row>
    <row r="264" spans="1:8" ht="47.25" x14ac:dyDescent="0.25">
      <c r="A264" s="9" t="s">
        <v>489</v>
      </c>
      <c r="B264" s="10" t="s">
        <v>490</v>
      </c>
      <c r="C264" s="11"/>
      <c r="D264" s="12"/>
      <c r="E264" s="15"/>
      <c r="F264" s="13"/>
      <c r="G264" s="11"/>
    </row>
    <row r="265" spans="1:8" ht="141.75" x14ac:dyDescent="0.25">
      <c r="A265" s="9" t="s">
        <v>491</v>
      </c>
      <c r="B265" s="10" t="s">
        <v>492</v>
      </c>
      <c r="C265" s="14" t="s">
        <v>40</v>
      </c>
      <c r="D265" s="27">
        <v>2</v>
      </c>
      <c r="E265" s="15">
        <v>9430</v>
      </c>
      <c r="F265" s="13">
        <f>5*ROUND(D265*E265/5,2)</f>
        <v>18860</v>
      </c>
      <c r="G265" s="16" t="s">
        <v>14</v>
      </c>
    </row>
    <row r="266" spans="1:8" ht="31.5" x14ac:dyDescent="0.25">
      <c r="A266" s="9" t="s">
        <v>493</v>
      </c>
      <c r="B266" s="10" t="s">
        <v>494</v>
      </c>
      <c r="C266" s="14" t="s">
        <v>40</v>
      </c>
      <c r="D266" s="27">
        <v>2</v>
      </c>
      <c r="E266" s="15">
        <v>665</v>
      </c>
      <c r="F266" s="13">
        <f>5*ROUND(D266*E266/5,2)</f>
        <v>1330</v>
      </c>
      <c r="G266" s="16" t="s">
        <v>14</v>
      </c>
    </row>
    <row r="267" spans="1:8" ht="31.5" x14ac:dyDescent="0.25">
      <c r="A267" s="9" t="s">
        <v>495</v>
      </c>
      <c r="B267" s="10" t="s">
        <v>496</v>
      </c>
      <c r="C267" s="14" t="s">
        <v>40</v>
      </c>
      <c r="D267" s="27">
        <v>2</v>
      </c>
      <c r="E267" s="15">
        <v>773</v>
      </c>
      <c r="F267" s="13">
        <f t="shared" ref="F267:F268" si="29">5*ROUND(D267*E267/5,2)</f>
        <v>1546</v>
      </c>
      <c r="G267" s="16" t="s">
        <v>14</v>
      </c>
    </row>
    <row r="268" spans="1:8" ht="31.5" x14ac:dyDescent="0.25">
      <c r="A268" s="9" t="s">
        <v>497</v>
      </c>
      <c r="B268" s="10" t="s">
        <v>498</v>
      </c>
      <c r="C268" s="14" t="s">
        <v>40</v>
      </c>
      <c r="D268" s="27">
        <v>2</v>
      </c>
      <c r="E268" s="15">
        <v>2476</v>
      </c>
      <c r="F268" s="13">
        <f t="shared" si="29"/>
        <v>4952</v>
      </c>
      <c r="G268" s="16" t="s">
        <v>14</v>
      </c>
    </row>
    <row r="269" spans="1:8" ht="110.25" x14ac:dyDescent="0.25">
      <c r="A269" s="44" t="s">
        <v>499</v>
      </c>
      <c r="B269" s="32" t="s">
        <v>500</v>
      </c>
      <c r="C269" s="33" t="s">
        <v>40</v>
      </c>
      <c r="D269" s="34">
        <v>4</v>
      </c>
      <c r="E269" s="15">
        <v>3505</v>
      </c>
      <c r="F269" s="28">
        <v>0</v>
      </c>
      <c r="G269" s="16" t="s">
        <v>14</v>
      </c>
    </row>
    <row r="270" spans="1:8" x14ac:dyDescent="0.25">
      <c r="A270" s="5" t="s">
        <v>73</v>
      </c>
      <c r="B270" s="6" t="s">
        <v>501</v>
      </c>
      <c r="C270" s="7"/>
      <c r="D270" s="7"/>
      <c r="E270" s="8"/>
      <c r="F270" s="17">
        <f>SUM(F241:F269)</f>
        <v>139022</v>
      </c>
      <c r="G270" s="18"/>
    </row>
    <row r="271" spans="1:8" x14ac:dyDescent="0.25">
      <c r="A271" s="9" t="s">
        <v>73</v>
      </c>
      <c r="B271" s="11"/>
      <c r="C271" s="11"/>
      <c r="D271" s="12"/>
      <c r="E271" s="13"/>
      <c r="F271" s="13"/>
      <c r="G271" s="11"/>
    </row>
    <row r="272" spans="1:8" x14ac:dyDescent="0.25">
      <c r="A272" s="11"/>
      <c r="B272" s="21"/>
      <c r="C272" s="21"/>
      <c r="D272" s="21"/>
      <c r="E272" s="21"/>
      <c r="F272" s="21"/>
      <c r="G272" s="21"/>
      <c r="H272" s="22"/>
    </row>
    <row r="273" spans="1:8" x14ac:dyDescent="0.25">
      <c r="A273" s="11"/>
      <c r="B273" s="21" t="s">
        <v>502</v>
      </c>
      <c r="C273" s="21"/>
      <c r="D273" s="21"/>
      <c r="E273" s="21"/>
      <c r="F273" s="47">
        <f>F32+F61+F96+F149+F161+F177+F234+F238+F270</f>
        <v>1744329.15</v>
      </c>
      <c r="G273" s="45"/>
      <c r="H273" s="22"/>
    </row>
    <row r="274" spans="1:8" x14ac:dyDescent="0.25">
      <c r="A274" s="11"/>
      <c r="B274" s="21" t="s">
        <v>508</v>
      </c>
      <c r="C274" s="21" t="s">
        <v>504</v>
      </c>
      <c r="D274" s="21">
        <v>2.2000000000000002</v>
      </c>
      <c r="E274" s="21"/>
      <c r="F274" s="45">
        <f>F273*D274%</f>
        <v>38375.241300000002</v>
      </c>
      <c r="G274" s="45"/>
      <c r="H274" s="22"/>
    </row>
    <row r="275" spans="1:8" x14ac:dyDescent="0.25">
      <c r="A275" s="11"/>
      <c r="B275" s="21" t="s">
        <v>508</v>
      </c>
      <c r="C275" s="21" t="s">
        <v>504</v>
      </c>
      <c r="D275" s="21">
        <v>1.2</v>
      </c>
      <c r="E275" s="21"/>
      <c r="F275" s="45">
        <f>(F273-F274)*D275%</f>
        <v>20471.4469044</v>
      </c>
      <c r="G275" s="45"/>
      <c r="H275" s="22"/>
    </row>
    <row r="276" spans="1:8" x14ac:dyDescent="0.25">
      <c r="A276" s="11"/>
      <c r="B276" s="21" t="s">
        <v>505</v>
      </c>
      <c r="C276" s="21" t="s">
        <v>504</v>
      </c>
      <c r="D276" s="21">
        <v>0.6</v>
      </c>
      <c r="E276" s="21"/>
      <c r="F276" s="45">
        <f>(F273-F274-F275)*D276%</f>
        <v>10112.894770773599</v>
      </c>
      <c r="G276" s="45"/>
      <c r="H276" s="22"/>
    </row>
    <row r="277" spans="1:8" x14ac:dyDescent="0.25">
      <c r="A277" s="11"/>
      <c r="B277" s="21" t="s">
        <v>503</v>
      </c>
      <c r="C277" s="21" t="s">
        <v>504</v>
      </c>
      <c r="D277" s="21">
        <v>8.1</v>
      </c>
      <c r="E277" s="21"/>
      <c r="F277" s="45">
        <f>G277*D277%</f>
        <v>135704.93492901092</v>
      </c>
      <c r="G277" s="45">
        <f>F273-F274-F275-F276</f>
        <v>1675369.5670248263</v>
      </c>
      <c r="H277" s="22"/>
    </row>
    <row r="278" spans="1:8" x14ac:dyDescent="0.25">
      <c r="A278" s="11"/>
      <c r="B278" s="21" t="s">
        <v>509</v>
      </c>
      <c r="C278" s="21"/>
      <c r="D278" s="21"/>
      <c r="E278" s="21"/>
      <c r="F278" s="45">
        <v>-1074.5</v>
      </c>
      <c r="G278" s="45"/>
      <c r="H278" s="22"/>
    </row>
    <row r="279" spans="1:8" s="26" customFormat="1" ht="15" x14ac:dyDescent="0.25">
      <c r="A279" s="23"/>
      <c r="B279" s="24" t="s">
        <v>510</v>
      </c>
      <c r="C279" s="24"/>
      <c r="D279" s="24"/>
      <c r="E279" s="24"/>
      <c r="F279" s="46">
        <f>G277+F277+F278</f>
        <v>1810000.0019538372</v>
      </c>
      <c r="G279" s="46"/>
      <c r="H279" s="25"/>
    </row>
    <row r="280" spans="1:8" x14ac:dyDescent="0.25">
      <c r="B280" s="22"/>
      <c r="C280" s="22"/>
      <c r="D280" s="22"/>
      <c r="E280" s="22"/>
      <c r="F280" s="22"/>
      <c r="G280" s="22"/>
      <c r="H280" s="22"/>
    </row>
    <row r="281" spans="1:8" x14ac:dyDescent="0.25">
      <c r="B281" s="22"/>
      <c r="C281" s="22"/>
      <c r="D281" s="22"/>
      <c r="E281" s="22"/>
      <c r="F281" s="22"/>
      <c r="G281" s="22"/>
      <c r="H281" s="22"/>
    </row>
    <row r="282" spans="1:8" x14ac:dyDescent="0.25">
      <c r="B282" s="22"/>
      <c r="C282" s="22"/>
      <c r="D282" s="22"/>
      <c r="E282" s="22"/>
      <c r="F282" s="22"/>
      <c r="G282" s="22"/>
      <c r="H282" s="22"/>
    </row>
    <row r="283" spans="1:8" x14ac:dyDescent="0.25">
      <c r="B283" s="22"/>
      <c r="C283" s="22"/>
      <c r="D283" s="22"/>
      <c r="E283" s="22"/>
      <c r="F283" s="22"/>
      <c r="G283" s="22"/>
      <c r="H283" s="22"/>
    </row>
    <row r="284" spans="1:8" x14ac:dyDescent="0.25">
      <c r="B284" s="22"/>
      <c r="C284" s="22"/>
      <c r="D284" s="22"/>
      <c r="E284" s="22"/>
      <c r="F284" s="22"/>
      <c r="G284" s="22"/>
      <c r="H284" s="22"/>
    </row>
  </sheetData>
  <mergeCells count="9">
    <mergeCell ref="A178:G178"/>
    <mergeCell ref="A235:G235"/>
    <mergeCell ref="A239:G239"/>
    <mergeCell ref="A33:G33"/>
    <mergeCell ref="B34:G34"/>
    <mergeCell ref="A62:G62"/>
    <mergeCell ref="A97:G97"/>
    <mergeCell ref="A150:G150"/>
    <mergeCell ref="A162:G16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Anne-Laure Perrin</dc:creator>
  <cp:lastModifiedBy>Jonas CHEVALLIER</cp:lastModifiedBy>
  <dcterms:created xsi:type="dcterms:W3CDTF">2025-03-27T07:36:13Z</dcterms:created>
  <dcterms:modified xsi:type="dcterms:W3CDTF">2025-04-15T15:50:11Z</dcterms:modified>
</cp:coreProperties>
</file>